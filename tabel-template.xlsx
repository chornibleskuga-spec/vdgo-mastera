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A281E1E-2E54-4DE6-814E-C4038190A21F}" xr6:coauthVersionLast="47" xr6:coauthVersionMax="47" xr10:uidLastSave="{00000000-0000-0000-0000-000000000000}"/>
  <bookViews>
    <workbookView xWindow="-120" yWindow="-120" windowWidth="29040" windowHeight="15720" xr2:uid="{269272FE-EC28-40B0-BE4B-64BB7D07B034}"/>
  </bookViews>
  <sheets>
    <sheet name="Лист1" sheetId="2" r:id="rId1"/>
  </sheets>
  <definedNames>
    <definedName name="_xlnm.Print_Area" localSheetId="0">Лист1!$A$1:$AE$158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9" i="2" l="1"/>
  <c r="AE111" i="2"/>
  <c r="AE107" i="2"/>
  <c r="T108" i="2"/>
  <c r="U109" i="2" s="1"/>
  <c r="T107" i="2"/>
  <c r="U107" i="2" s="1"/>
  <c r="T110" i="2"/>
  <c r="T109" i="2"/>
  <c r="AE131" i="2"/>
  <c r="AE103" i="2"/>
  <c r="AE34" i="2"/>
  <c r="AE95" i="2"/>
  <c r="AE91" i="2"/>
  <c r="AE87" i="2"/>
  <c r="AE83" i="2"/>
  <c r="AE66" i="2"/>
  <c r="AE62" i="2"/>
  <c r="AE58" i="2"/>
  <c r="AE54" i="2"/>
  <c r="AE50" i="2"/>
  <c r="AE46" i="2"/>
  <c r="AE42" i="2"/>
  <c r="AE38" i="2"/>
  <c r="AE30" i="2"/>
  <c r="AE26" i="2"/>
  <c r="T142" i="2"/>
  <c r="T141" i="2"/>
  <c r="T140" i="2"/>
  <c r="U141" i="2" s="1"/>
  <c r="AE139" i="2"/>
  <c r="T139" i="2"/>
  <c r="U139" i="2" s="1"/>
  <c r="T138" i="2"/>
  <c r="T137" i="2"/>
  <c r="T136" i="2"/>
  <c r="AE135" i="2"/>
  <c r="T135" i="2"/>
  <c r="U135" i="2" s="1"/>
  <c r="T134" i="2"/>
  <c r="T133" i="2"/>
  <c r="T132" i="2"/>
  <c r="U133" i="2" s="1"/>
  <c r="T131" i="2"/>
  <c r="U131" i="2" s="1"/>
  <c r="T130" i="2"/>
  <c r="T129" i="2"/>
  <c r="T128" i="2"/>
  <c r="U129" i="2" s="1"/>
  <c r="AE127" i="2"/>
  <c r="T127" i="2"/>
  <c r="T40" i="2"/>
  <c r="T38" i="2"/>
  <c r="U38" i="2" s="1"/>
  <c r="T114" i="2"/>
  <c r="T113" i="2"/>
  <c r="T112" i="2"/>
  <c r="T111" i="2"/>
  <c r="U111" i="2" s="1"/>
  <c r="T106" i="2"/>
  <c r="T105" i="2"/>
  <c r="T104" i="2"/>
  <c r="T103" i="2"/>
  <c r="T102" i="2"/>
  <c r="T101" i="2"/>
  <c r="T100" i="2"/>
  <c r="T99" i="2"/>
  <c r="U99" i="2" s="1"/>
  <c r="T98" i="2"/>
  <c r="T97" i="2"/>
  <c r="T96" i="2"/>
  <c r="T95" i="2"/>
  <c r="T94" i="2"/>
  <c r="T93" i="2"/>
  <c r="U91" i="2" s="1"/>
  <c r="T92" i="2"/>
  <c r="U93" i="2" s="1"/>
  <c r="T91" i="2"/>
  <c r="T90" i="2"/>
  <c r="T89" i="2"/>
  <c r="T88" i="2"/>
  <c r="T87" i="2"/>
  <c r="T86" i="2"/>
  <c r="T85" i="2"/>
  <c r="T84" i="2"/>
  <c r="T83" i="2"/>
  <c r="U83" i="2" s="1"/>
  <c r="T69" i="2"/>
  <c r="T68" i="2"/>
  <c r="T67" i="2"/>
  <c r="U68" i="2" s="1"/>
  <c r="T66" i="2"/>
  <c r="T65" i="2"/>
  <c r="T64" i="2"/>
  <c r="T63" i="2"/>
  <c r="T62" i="2"/>
  <c r="U62" i="2" s="1"/>
  <c r="T61" i="2"/>
  <c r="T60" i="2"/>
  <c r="T59" i="2"/>
  <c r="U60" i="2" s="1"/>
  <c r="T58" i="2"/>
  <c r="U58" i="2" s="1"/>
  <c r="T57" i="2"/>
  <c r="T56" i="2"/>
  <c r="T55" i="2"/>
  <c r="U56" i="2" s="1"/>
  <c r="T54" i="2"/>
  <c r="U54" i="2" s="1"/>
  <c r="T53" i="2"/>
  <c r="T52" i="2"/>
  <c r="T51" i="2"/>
  <c r="U52" i="2"/>
  <c r="T50" i="2"/>
  <c r="T49" i="2"/>
  <c r="T48" i="2"/>
  <c r="T47" i="2"/>
  <c r="U48" i="2" s="1"/>
  <c r="T46" i="2"/>
  <c r="U46" i="2" s="1"/>
  <c r="T45" i="2"/>
  <c r="T44" i="2"/>
  <c r="T43" i="2"/>
  <c r="U44" i="2" s="1"/>
  <c r="T42" i="2"/>
  <c r="U42" i="2" s="1"/>
  <c r="T41" i="2"/>
  <c r="T39" i="2"/>
  <c r="T37" i="2"/>
  <c r="T36" i="2"/>
  <c r="T35" i="2"/>
  <c r="T34" i="2"/>
  <c r="T33" i="2"/>
  <c r="T32" i="2"/>
  <c r="T31" i="2"/>
  <c r="T30" i="2"/>
  <c r="T29" i="2"/>
  <c r="T28" i="2"/>
  <c r="T27" i="2"/>
  <c r="T26" i="2"/>
  <c r="U113" i="2"/>
  <c r="U101" i="2"/>
  <c r="U64" i="2"/>
  <c r="U36" i="2" l="1"/>
  <c r="U105" i="2"/>
  <c r="U34" i="2"/>
  <c r="U50" i="2"/>
  <c r="U85" i="2"/>
  <c r="U97" i="2"/>
  <c r="U95" i="2"/>
  <c r="U40" i="2"/>
  <c r="U26" i="2"/>
  <c r="U28" i="2"/>
  <c r="U89" i="2"/>
  <c r="U87" i="2"/>
  <c r="U127" i="2"/>
  <c r="U32" i="2"/>
  <c r="U66" i="2"/>
  <c r="U137" i="2"/>
  <c r="U30" i="2"/>
  <c r="U103" i="2"/>
</calcChain>
</file>

<file path=xl/sharedStrings.xml><?xml version="1.0" encoding="utf-8"?>
<sst xmlns="http://schemas.openxmlformats.org/spreadsheetml/2006/main" count="243" uniqueCount="110">
  <si>
    <t>Номер</t>
  </si>
  <si>
    <t>порядку</t>
  </si>
  <si>
    <t>по</t>
  </si>
  <si>
    <t>Табельный</t>
  </si>
  <si>
    <t>номер</t>
  </si>
  <si>
    <t>Отметки о явках и неявках на работу по числам месяца</t>
  </si>
  <si>
    <t>месяц</t>
  </si>
  <si>
    <t>Отработано за</t>
  </si>
  <si>
    <t>дни</t>
  </si>
  <si>
    <t>часы</t>
  </si>
  <si>
    <t>(часы)</t>
  </si>
  <si>
    <t>корреспондирующий счет</t>
  </si>
  <si>
    <t>код вида оплаты</t>
  </si>
  <si>
    <t>Данные для начисления заработной платы</t>
  </si>
  <si>
    <t>по видам и направлениям затрат</t>
  </si>
  <si>
    <t>код</t>
  </si>
  <si>
    <t>Неявки по причинам</t>
  </si>
  <si>
    <t>Код</t>
  </si>
  <si>
    <t xml:space="preserve">по ОКПО   </t>
  </si>
  <si>
    <t xml:space="preserve">Форма по ОКУД   </t>
  </si>
  <si>
    <t>(наименование организации)</t>
  </si>
  <si>
    <t>(структурное подразделение)</t>
  </si>
  <si>
    <t>Номер документа</t>
  </si>
  <si>
    <t>Дата составления</t>
  </si>
  <si>
    <t>Отчетный период</t>
  </si>
  <si>
    <t>с</t>
  </si>
  <si>
    <t>ТАБЕЛЬ</t>
  </si>
  <si>
    <t>учета рабочего времени</t>
  </si>
  <si>
    <t>Работник кадровой службы</t>
  </si>
  <si>
    <t>4 разряда</t>
  </si>
  <si>
    <t>половину</t>
  </si>
  <si>
    <t>месяца</t>
  </si>
  <si>
    <t>(I, II)</t>
  </si>
  <si>
    <t>4 разряд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</si>
  <si>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</si>
  <si>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  разряда</t>
  </si>
  <si>
    <t>5 разряда</t>
  </si>
  <si>
    <t xml:space="preserve"> </t>
  </si>
  <si>
    <t xml:space="preserve">                                      +</t>
  </si>
  <si>
    <t xml:space="preserve">                  </t>
  </si>
  <si>
    <t>В</t>
  </si>
  <si>
    <t>Мастер</t>
  </si>
  <si>
    <t>ООО "Газпром газораспределение Волгоград"</t>
  </si>
  <si>
    <t>Филиал ООО "Газпром газораспределение Волгоград" в г. Волгоград</t>
  </si>
  <si>
    <t>служба  ВДГО  РЭУ № 3</t>
  </si>
  <si>
    <t>ГВ00-10989</t>
  </si>
  <si>
    <t>ГВ00-10990</t>
  </si>
  <si>
    <t>ГВ00-10992</t>
  </si>
  <si>
    <t>ГВ00-10994</t>
  </si>
  <si>
    <t>ГВ00-10996</t>
  </si>
  <si>
    <t>ГВ00-10997</t>
  </si>
  <si>
    <t>ГВ00-10998</t>
  </si>
  <si>
    <t>ГВ00-10999</t>
  </si>
  <si>
    <t>ГВ00-11044</t>
  </si>
  <si>
    <t>ГВ00-11000</t>
  </si>
  <si>
    <t>ГВ00-11001</t>
  </si>
  <si>
    <t>ГВ00-11002</t>
  </si>
  <si>
    <t>ГВ00-11003</t>
  </si>
  <si>
    <t>ГВ00-11004</t>
  </si>
  <si>
    <t>ГВ00-11006</t>
  </si>
  <si>
    <t>ГВ00-11007</t>
  </si>
  <si>
    <t>ГВ00-11008</t>
  </si>
  <si>
    <t>ГВ00-10987</t>
  </si>
  <si>
    <t>ГВ00-10988</t>
  </si>
  <si>
    <t>ГВ00-11010</t>
  </si>
  <si>
    <t>Бастеев Юрий Геннадиевич</t>
  </si>
  <si>
    <t>Белолипецкий Сергей Егорович</t>
  </si>
  <si>
    <t>Бочкарев Павел Александрович</t>
  </si>
  <si>
    <t>Ершов Максим Сергеевич</t>
  </si>
  <si>
    <t>Китаев Максим Николаевич</t>
  </si>
  <si>
    <t>Клопов Игорь Геннадиевич</t>
  </si>
  <si>
    <t>Кувакин Дмитрий Анатольевич</t>
  </si>
  <si>
    <t>Липчанский Сергей Викторович</t>
  </si>
  <si>
    <t>Лукьяненко Павел Александрович</t>
  </si>
  <si>
    <t>Нерозников Игорь Александрович</t>
  </si>
  <si>
    <t>Овчинников Дмитрий Геннадьевич</t>
  </si>
  <si>
    <t>Романенко Юрий Михайлович</t>
  </si>
  <si>
    <t>Севастьянов Владимир Александрович</t>
  </si>
  <si>
    <t>Соловьев Павел Олегович</t>
  </si>
  <si>
    <t>Тюрин Михаил Юрьевич</t>
  </si>
  <si>
    <t>Усов Дмитрий Анатольевич</t>
  </si>
  <si>
    <t>Шибанов Игорь Александрович</t>
  </si>
  <si>
    <t>Муленков Максим Денисович</t>
  </si>
  <si>
    <t>Липчанский Андрей Сергеевич</t>
  </si>
  <si>
    <t>Пузикова Светлана Геннадьевна</t>
  </si>
  <si>
    <t>Широкова Оксана Геннадьевна</t>
  </si>
  <si>
    <t>ВГ00-0048</t>
  </si>
  <si>
    <t>Приложение №1
к приказу от 29 января 2020г. №ГВ21ахо</t>
  </si>
  <si>
    <t>Унифицированная форма № Т-13
Утверждена Постановлением Госкомстата 
России от 5 января 2004 г. № 1</t>
  </si>
  <si>
    <t>Руководитель структурного подразделения</t>
  </si>
  <si>
    <t>расшифровка подписи</t>
  </si>
  <si>
    <t>Ответственное
лицо</t>
  </si>
  <si>
    <t>Должность</t>
  </si>
  <si>
    <t xml:space="preserve">Должность           </t>
  </si>
  <si>
    <t>Личная подпись</t>
  </si>
  <si>
    <t>Нач. СВДГО</t>
  </si>
  <si>
    <t>Техник</t>
  </si>
  <si>
    <t>Слесарь ЭРГО</t>
  </si>
  <si>
    <t>Д.В. Муленков</t>
  </si>
  <si>
    <t>Фамилия, инициалы, должность (специальность, профессия)</t>
  </si>
  <si>
    <t>Н.Б. Аксенова</t>
  </si>
  <si>
    <t>корреспонди-рующий счет</t>
  </si>
  <si>
    <t>дни (часы)</t>
  </si>
  <si>
    <t>ГВ00-11009</t>
  </si>
  <si>
    <t>Зам. Нач.</t>
  </si>
  <si>
    <t>Д.В. Босомыгин</t>
  </si>
  <si>
    <t>Анисимов Сергей Александрович</t>
  </si>
  <si>
    <t>ГВ00-12075</t>
  </si>
  <si>
    <t>Бондаренко Максим Артемович</t>
  </si>
  <si>
    <t>ГВ00-12424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</si>
</sst>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0"/>
      <name val="Arial"/>
      <family val="2"/>
      <charset val="204"/>
    </font>
    <font>
      <sz val="10"/>
      <name val="Arial Narrow"/>
      <family val="2"/>
      <charset val="204"/>
    </font>
    <font>
      <b/>
      <sz val="10"/>
      <name val="Arial"/>
      <family val="2"/>
      <charset val="204"/>
    </font>
    <font>
      <sz val="10"/>
      <name val="Arial Narrow"/>
      <family val="2"/>
    </font>
    <font>
      <b/>
      <sz val="10"/>
      <name val="Arial Narrow"/>
      <family val="2"/>
    </font>
    <font>
      <sz val="9"/>
      <name val="Arial"/>
      <family val="2"/>
      <charset val="204"/>
    </font>
    <font>
      <b/>
      <sz val="10"/>
      <name val="Arial Narrow"/>
      <family val="2"/>
      <charset val="204"/>
    </font>
    <font>
      <sz val="6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9"/>
      <name val="Arial Narrow"/>
      <family val="2"/>
    </font>
    <font>
      <b/>
      <i/>
      <sz val="12"/>
      <name val="Arial Narrow"/>
      <family val="2"/>
    </font>
    <font>
      <b/>
      <i/>
      <sz val="12"/>
      <name val="Arial"/>
      <family val="2"/>
      <charset val="204"/>
    </font>
    <font>
      <sz val="12"/>
      <name val="Arial Narrow"/>
      <family val="2"/>
    </font>
    <font>
      <b/>
      <sz val="12"/>
      <name val="Arial Narrow"/>
      <family val="2"/>
      <charset val="204"/>
    </font>
    <font>
      <b/>
      <i/>
      <sz val="10"/>
      <name val="Arial Narrow"/>
      <family val="2"/>
    </font>
    <font>
      <sz val="8"/>
      <name val="Arial"/>
      <family val="2"/>
    </font>
    <font>
      <sz val="8"/>
      <name val="Arial Narrow"/>
      <family val="2"/>
      <charset val="204"/>
    </font>
    <font>
      <b/>
      <i/>
      <sz val="10"/>
      <name val="Arial"/>
      <family val="2"/>
      <charset val="204"/>
    </font>
    <font>
      <b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0" xfId="0" applyFont="1"/>
    <xf numFmtId="1" fontId="4" fillId="0" borderId="0" xfId="0" applyNumberFormat="1" applyFont="1" applyAlignment="1">
      <alignment horizontal="center"/>
    </xf>
    <xf numFmtId="1" fontId="4" fillId="0" borderId="3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3" fontId="1" fillId="0" borderId="3" xfId="0" applyNumberFormat="1" applyFont="1" applyBorder="1" applyAlignment="1">
      <alignment horizontal="center" vertical="center"/>
    </xf>
    <xf numFmtId="0" fontId="1" fillId="0" borderId="3" xfId="0" applyFont="1" applyBorder="1"/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3" xfId="0" applyFont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1" xfId="0" applyFont="1" applyBorder="1"/>
    <xf numFmtId="0" fontId="8" fillId="0" borderId="0" xfId="0" applyFont="1" applyAlignment="1">
      <alignment horizontal="center" vertical="top"/>
    </xf>
    <xf numFmtId="0" fontId="4" fillId="0" borderId="3" xfId="0" applyFont="1" applyBorder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0" fontId="5" fillId="0" borderId="0" xfId="0" applyFont="1" applyAlignment="1">
      <alignment wrapText="1"/>
    </xf>
    <xf numFmtId="0" fontId="17" fillId="0" borderId="0" xfId="0" applyFont="1" applyAlignment="1">
      <alignment horizontal="center" vertical="top" wrapText="1"/>
    </xf>
    <xf numFmtId="0" fontId="16" fillId="0" borderId="0" xfId="0" applyFont="1"/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1" fillId="0" borderId="0" xfId="0" applyFont="1" applyAlignment="1">
      <alignment horizontal="left" indent="2"/>
    </xf>
    <xf numFmtId="0" fontId="9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1" fillId="0" borderId="19" xfId="0" applyFont="1" applyBorder="1" applyAlignment="1">
      <alignment horizontal="right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4" fontId="1" fillId="0" borderId="26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indent="38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left" indent="48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0" fontId="19" fillId="0" borderId="0" xfId="0" applyFont="1" applyAlignment="1">
      <alignment horizontal="left" wrapText="1"/>
    </xf>
    <xf numFmtId="0" fontId="14" fillId="0" borderId="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0" borderId="4" xfId="0" applyFont="1" applyBorder="1" applyAlignment="1">
      <alignment horizontal="center" vertical="top"/>
    </xf>
    <xf numFmtId="0" fontId="4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17" fillId="0" borderId="4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8" fillId="0" borderId="4" xfId="0" applyFont="1" applyBorder="1" applyAlignment="1">
      <alignment horizont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6" xfId="0" applyFont="1" applyBorder="1" applyAlignment="1">
      <alignment vertical="top" wrapText="1"/>
    </xf>
    <xf numFmtId="0" fontId="20" fillId="0" borderId="2" xfId="0" applyFont="1" applyBorder="1" applyAlignment="1">
      <alignment vertical="top" wrapText="1"/>
    </xf>
    <xf numFmtId="1" fontId="4" fillId="0" borderId="1" xfId="0" applyNumberFormat="1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14" fontId="1" fillId="0" borderId="37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E94AD-27E6-4389-8554-D575073CC495}">
  <sheetPr>
    <pageSetUpPr fitToPage="1"/>
  </sheetPr>
  <dimension ref="A1:AR191"/>
  <sheetViews>
    <sheetView tabSelected="1" zoomScale="115" zoomScaleNormal="115" zoomScaleSheetLayoutView="100" workbookViewId="0">
      <selection activeCell="W13" sqref="W13:X13"/>
    </sheetView>
  </sheetViews>
  <sheetFormatPr defaultRowHeight="12.75" x14ac:dyDescent="0.2"/>
  <cols>
    <col min="1" max="1" width="6.7109375" style="4" customWidth="1"/>
    <col min="2" max="2" width="16.85546875" style="4" customWidth="1"/>
    <col min="3" max="3" width="11.7109375" style="4" customWidth="1"/>
    <col min="4" max="4" width="4.42578125" style="4" customWidth="1"/>
    <col min="5" max="5" width="4" style="4" customWidth="1"/>
    <col min="6" max="6" width="4.7109375" style="4" customWidth="1"/>
    <col min="7" max="7" width="4.140625" style="4" customWidth="1"/>
    <col min="8" max="8" width="5.28515625" style="4" customWidth="1"/>
    <col min="9" max="9" width="4.42578125" style="4" customWidth="1"/>
    <col min="10" max="10" width="4.7109375" style="4" customWidth="1"/>
    <col min="11" max="11" width="4.85546875" style="4" customWidth="1"/>
    <col min="12" max="12" width="4.5703125" style="4" customWidth="1"/>
    <col min="13" max="13" width="4.7109375" style="4" customWidth="1"/>
    <col min="14" max="14" width="3.7109375" style="4" customWidth="1"/>
    <col min="15" max="15" width="4.5703125" style="4" customWidth="1"/>
    <col min="16" max="16" width="4.42578125" style="4" customWidth="1"/>
    <col min="17" max="19" width="4" style="4" customWidth="1"/>
    <col min="20" max="20" width="8.7109375" style="4" customWidth="1"/>
    <col min="21" max="21" width="7.28515625" style="4" customWidth="1"/>
    <col min="22" max="22" width="7.140625" style="4" customWidth="1"/>
    <col min="23" max="23" width="10" style="4" customWidth="1"/>
    <col min="24" max="24" width="6.42578125" style="4" customWidth="1"/>
    <col min="25" max="25" width="7.28515625" style="4" customWidth="1"/>
    <col min="26" max="26" width="9.28515625" style="4" customWidth="1"/>
    <col min="27" max="27" width="6.28515625" style="4" customWidth="1"/>
    <col min="28" max="28" width="7.7109375" style="4" customWidth="1"/>
    <col min="29" max="29" width="5.140625" style="4" customWidth="1"/>
    <col min="30" max="30" width="4.7109375" style="4" customWidth="1"/>
    <col min="31" max="31" width="8.5703125" style="4" customWidth="1"/>
    <col min="32" max="32" width="4.42578125" style="4" customWidth="1"/>
    <col min="33" max="33" width="4" style="4" customWidth="1"/>
    <col min="34" max="16384" width="9.140625" style="4"/>
  </cols>
  <sheetData>
    <row r="1" spans="1:37" ht="30.75" customHeight="1" x14ac:dyDescent="0.2">
      <c r="Z1" s="70" t="s">
        <v>87</v>
      </c>
      <c r="AA1" s="70"/>
      <c r="AB1" s="70"/>
      <c r="AC1" s="70"/>
      <c r="AD1" s="70"/>
      <c r="AE1" s="70"/>
    </row>
    <row r="2" spans="1:37" ht="12.75" customHeight="1" x14ac:dyDescent="0.2">
      <c r="B2" s="13"/>
      <c r="C2" s="13"/>
      <c r="T2" s="72"/>
      <c r="U2" s="72"/>
      <c r="V2" s="72"/>
      <c r="Z2" s="71" t="s">
        <v>88</v>
      </c>
      <c r="AA2" s="72"/>
      <c r="AB2" s="72"/>
      <c r="AC2" s="72"/>
      <c r="AD2" s="72"/>
      <c r="AE2" s="72"/>
      <c r="AH2" s="72"/>
      <c r="AI2" s="72"/>
      <c r="AJ2" s="72"/>
      <c r="AK2" s="72"/>
    </row>
    <row r="3" spans="1:37" ht="12.75" customHeight="1" x14ac:dyDescent="0.2">
      <c r="T3" s="72"/>
      <c r="U3" s="72"/>
      <c r="V3" s="72"/>
      <c r="Z3" s="72"/>
      <c r="AA3" s="72"/>
      <c r="AB3" s="72"/>
      <c r="AC3" s="72"/>
      <c r="AD3" s="72"/>
      <c r="AE3" s="72"/>
      <c r="AG3" s="72"/>
      <c r="AH3" s="72"/>
      <c r="AI3" s="72"/>
      <c r="AJ3" s="72"/>
      <c r="AK3" s="72"/>
    </row>
    <row r="4" spans="1:37" ht="12.75" customHeight="1" x14ac:dyDescent="0.2">
      <c r="T4" s="72"/>
      <c r="U4" s="72"/>
      <c r="V4" s="72"/>
      <c r="Z4" s="72"/>
      <c r="AA4" s="72"/>
      <c r="AB4" s="72"/>
      <c r="AC4" s="72"/>
      <c r="AD4" s="72"/>
      <c r="AE4" s="72"/>
      <c r="AI4" s="72"/>
      <c r="AJ4" s="72"/>
      <c r="AK4" s="72"/>
    </row>
    <row r="5" spans="1:37" ht="13.5" customHeight="1" thickBot="1" x14ac:dyDescent="0.25">
      <c r="K5" s="68" t="s">
        <v>42</v>
      </c>
      <c r="L5" s="17"/>
      <c r="T5" s="14"/>
      <c r="U5" s="14"/>
      <c r="V5" s="14"/>
      <c r="AA5" s="15"/>
      <c r="AB5" s="15"/>
      <c r="AC5" s="16"/>
      <c r="AD5" s="88" t="s">
        <v>17</v>
      </c>
      <c r="AE5" s="89"/>
      <c r="AI5" s="14"/>
      <c r="AJ5" s="14"/>
      <c r="AK5" s="14"/>
    </row>
    <row r="6" spans="1:37" ht="13.5" customHeight="1" thickBot="1" x14ac:dyDescent="0.25">
      <c r="T6" s="14"/>
      <c r="U6" s="14"/>
      <c r="V6" s="14"/>
      <c r="AA6" s="15"/>
      <c r="AB6" s="91" t="s">
        <v>19</v>
      </c>
      <c r="AC6" s="92"/>
      <c r="AD6" s="93">
        <v>301008</v>
      </c>
      <c r="AE6" s="94"/>
      <c r="AI6" s="14"/>
      <c r="AJ6" s="14"/>
      <c r="AK6" s="14"/>
    </row>
    <row r="7" spans="1:37" ht="13.5" thickBot="1" x14ac:dyDescent="0.25">
      <c r="A7" s="108" t="s">
        <v>43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91" t="s">
        <v>18</v>
      </c>
      <c r="AC7" s="92"/>
      <c r="AD7" s="106">
        <v>3261971</v>
      </c>
      <c r="AE7" s="107"/>
      <c r="AI7" s="14"/>
      <c r="AJ7" s="14"/>
      <c r="AK7" s="14"/>
    </row>
    <row r="8" spans="1:37" ht="9" customHeight="1" x14ac:dyDescent="0.2">
      <c r="N8" s="115" t="s">
        <v>20</v>
      </c>
      <c r="O8" s="115"/>
      <c r="P8" s="115"/>
      <c r="Q8" s="115"/>
      <c r="R8" s="115"/>
      <c r="S8" s="115"/>
      <c r="T8" s="18"/>
      <c r="U8" s="14"/>
      <c r="V8" s="14"/>
      <c r="AA8" s="15"/>
      <c r="AB8" s="15"/>
      <c r="AC8" s="16"/>
      <c r="AD8" s="95"/>
      <c r="AE8" s="96"/>
      <c r="AI8" s="14"/>
      <c r="AJ8" s="14"/>
      <c r="AK8" s="14"/>
    </row>
    <row r="9" spans="1:37" ht="13.5" thickBot="1" x14ac:dyDescent="0.25">
      <c r="A9" s="112" t="s">
        <v>44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D9" s="97"/>
      <c r="AE9" s="98"/>
    </row>
    <row r="10" spans="1:37" ht="9" customHeight="1" thickBot="1" x14ac:dyDescent="0.25">
      <c r="N10" s="117" t="s">
        <v>21</v>
      </c>
      <c r="O10" s="117"/>
      <c r="P10" s="117"/>
      <c r="Q10" s="117"/>
      <c r="R10" s="117"/>
      <c r="S10" s="117"/>
    </row>
    <row r="11" spans="1:37" ht="12.6" customHeight="1" thickBot="1" x14ac:dyDescent="0.25">
      <c r="N11" s="19"/>
      <c r="O11" s="19"/>
      <c r="P11" s="19"/>
      <c r="Q11" s="19"/>
      <c r="R11" s="19"/>
      <c r="S11" s="19"/>
      <c r="W11" s="120" t="s">
        <v>22</v>
      </c>
      <c r="X11" s="102"/>
      <c r="Y11" s="102" t="s">
        <v>23</v>
      </c>
      <c r="Z11" s="103"/>
      <c r="AB11" s="159" t="s">
        <v>24</v>
      </c>
      <c r="AC11" s="159"/>
      <c r="AD11" s="159"/>
      <c r="AE11" s="159"/>
    </row>
    <row r="12" spans="1:37" ht="12.6" customHeight="1" thickBot="1" x14ac:dyDescent="0.25">
      <c r="H12" s="20"/>
      <c r="I12" s="20"/>
      <c r="J12" s="20"/>
      <c r="K12" s="101" t="s">
        <v>26</v>
      </c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20"/>
      <c r="W12" s="121"/>
      <c r="X12" s="104"/>
      <c r="Y12" s="104"/>
      <c r="Z12" s="105"/>
      <c r="AB12" s="159" t="s">
        <v>25</v>
      </c>
      <c r="AC12" s="159"/>
      <c r="AD12" s="159" t="s">
        <v>2</v>
      </c>
      <c r="AE12" s="159"/>
    </row>
    <row r="13" spans="1:37" ht="12.6" customHeight="1" thickBot="1" x14ac:dyDescent="0.25">
      <c r="H13" s="20"/>
      <c r="I13" s="20"/>
      <c r="J13" s="20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20"/>
      <c r="W13" s="118"/>
      <c r="X13" s="119"/>
      <c r="Y13" s="99"/>
      <c r="Z13" s="100"/>
      <c r="AB13" s="160"/>
      <c r="AC13" s="159"/>
      <c r="AD13" s="160"/>
      <c r="AE13" s="159"/>
    </row>
    <row r="14" spans="1:37" ht="12.6" customHeight="1" x14ac:dyDescent="0.2">
      <c r="H14" s="101" t="s">
        <v>27</v>
      </c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</row>
    <row r="15" spans="1:37" ht="12.6" customHeight="1" x14ac:dyDescent="0.2"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</row>
    <row r="16" spans="1:37" ht="12.6" customHeight="1" x14ac:dyDescent="0.2">
      <c r="A16" s="23"/>
      <c r="B16" s="137" t="s">
        <v>99</v>
      </c>
      <c r="C16" s="23"/>
      <c r="D16" s="88" t="s">
        <v>5</v>
      </c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88" t="s">
        <v>7</v>
      </c>
      <c r="U16" s="89"/>
      <c r="V16" s="88" t="s">
        <v>13</v>
      </c>
      <c r="W16" s="111"/>
      <c r="X16" s="111"/>
      <c r="Y16" s="111"/>
      <c r="Z16" s="111"/>
      <c r="AA16" s="89"/>
      <c r="AB16" s="88" t="s">
        <v>16</v>
      </c>
      <c r="AC16" s="111"/>
      <c r="AD16" s="111"/>
      <c r="AE16" s="89"/>
    </row>
    <row r="17" spans="1:31" ht="12.6" customHeight="1" x14ac:dyDescent="0.2">
      <c r="A17" s="24"/>
      <c r="B17" s="138"/>
      <c r="C17" s="24"/>
      <c r="D17" s="113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3"/>
      <c r="U17" s="116"/>
      <c r="V17" s="113" t="s">
        <v>14</v>
      </c>
      <c r="W17" s="114"/>
      <c r="X17" s="114"/>
      <c r="Y17" s="114"/>
      <c r="Z17" s="114"/>
      <c r="AA17" s="116"/>
      <c r="AB17" s="113"/>
      <c r="AC17" s="114"/>
      <c r="AD17" s="114"/>
      <c r="AE17" s="116"/>
    </row>
    <row r="18" spans="1:31" ht="12.6" customHeight="1" x14ac:dyDescent="0.2">
      <c r="A18" s="25" t="s">
        <v>0</v>
      </c>
      <c r="B18" s="138"/>
      <c r="C18" s="25" t="s">
        <v>3</v>
      </c>
      <c r="D18" s="79">
        <v>1</v>
      </c>
      <c r="E18" s="79">
        <v>2</v>
      </c>
      <c r="F18" s="79">
        <v>3</v>
      </c>
      <c r="G18" s="79">
        <v>4</v>
      </c>
      <c r="H18" s="79">
        <v>5</v>
      </c>
      <c r="I18" s="79">
        <v>6</v>
      </c>
      <c r="J18" s="79">
        <v>7</v>
      </c>
      <c r="K18" s="79">
        <v>8</v>
      </c>
      <c r="L18" s="79">
        <v>9</v>
      </c>
      <c r="M18" s="79">
        <v>10</v>
      </c>
      <c r="N18" s="79">
        <v>11</v>
      </c>
      <c r="O18" s="79">
        <v>12</v>
      </c>
      <c r="P18" s="79">
        <v>13</v>
      </c>
      <c r="Q18" s="79">
        <v>14</v>
      </c>
      <c r="R18" s="79">
        <v>15</v>
      </c>
      <c r="S18" s="79"/>
      <c r="T18" s="26" t="s">
        <v>30</v>
      </c>
      <c r="U18" s="90" t="s">
        <v>6</v>
      </c>
      <c r="V18" s="109" t="s">
        <v>12</v>
      </c>
      <c r="W18" s="110"/>
      <c r="X18" s="110"/>
      <c r="Y18" s="110"/>
      <c r="Z18" s="110"/>
      <c r="AA18" s="82"/>
      <c r="AB18" s="90" t="s">
        <v>15</v>
      </c>
      <c r="AC18" s="23"/>
      <c r="AD18" s="90" t="s">
        <v>15</v>
      </c>
      <c r="AE18" s="23"/>
    </row>
    <row r="19" spans="1:31" ht="12.6" customHeight="1" x14ac:dyDescent="0.2">
      <c r="A19" s="87" t="s">
        <v>2</v>
      </c>
      <c r="B19" s="138"/>
      <c r="C19" s="24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7" t="s">
        <v>31</v>
      </c>
      <c r="U19" s="87"/>
      <c r="V19" s="15"/>
      <c r="W19" s="15"/>
      <c r="X19" s="15"/>
      <c r="Y19" s="15"/>
      <c r="Z19" s="15"/>
      <c r="AA19" s="15"/>
      <c r="AB19" s="87"/>
      <c r="AC19" s="28"/>
      <c r="AD19" s="87"/>
      <c r="AE19" s="28"/>
    </row>
    <row r="20" spans="1:31" ht="12.6" customHeight="1" x14ac:dyDescent="0.2">
      <c r="A20" s="87"/>
      <c r="B20" s="138"/>
      <c r="C20" s="24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7"/>
      <c r="U20" s="87"/>
      <c r="V20" s="109" t="s">
        <v>11</v>
      </c>
      <c r="W20" s="110"/>
      <c r="X20" s="110"/>
      <c r="Y20" s="110"/>
      <c r="Z20" s="110"/>
      <c r="AA20" s="82"/>
      <c r="AB20" s="87"/>
      <c r="AC20" s="28" t="s">
        <v>8</v>
      </c>
      <c r="AD20" s="87"/>
      <c r="AE20" s="28" t="s">
        <v>8</v>
      </c>
    </row>
    <row r="21" spans="1:31" ht="12.6" customHeight="1" x14ac:dyDescent="0.2">
      <c r="A21" s="25" t="s">
        <v>1</v>
      </c>
      <c r="B21" s="138"/>
      <c r="C21" s="25" t="s">
        <v>4</v>
      </c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29" t="s">
        <v>32</v>
      </c>
      <c r="U21" s="140"/>
      <c r="V21" s="15"/>
      <c r="W21" s="15"/>
      <c r="X21" s="15"/>
      <c r="Y21" s="15"/>
      <c r="Z21" s="15"/>
      <c r="AA21" s="15"/>
      <c r="AB21" s="87"/>
      <c r="AC21" s="28" t="s">
        <v>10</v>
      </c>
      <c r="AD21" s="87"/>
      <c r="AE21" s="28" t="s">
        <v>10</v>
      </c>
    </row>
    <row r="22" spans="1:31" ht="12.6" customHeight="1" x14ac:dyDescent="0.2">
      <c r="A22" s="24"/>
      <c r="B22" s="138"/>
      <c r="C22" s="24"/>
      <c r="D22" s="79">
        <v>16</v>
      </c>
      <c r="E22" s="79">
        <v>17</v>
      </c>
      <c r="F22" s="79">
        <v>18</v>
      </c>
      <c r="G22" s="79">
        <v>19</v>
      </c>
      <c r="H22" s="79">
        <v>20</v>
      </c>
      <c r="I22" s="79">
        <v>21</v>
      </c>
      <c r="J22" s="79">
        <v>22</v>
      </c>
      <c r="K22" s="79">
        <v>23</v>
      </c>
      <c r="L22" s="79">
        <v>24</v>
      </c>
      <c r="M22" s="79">
        <v>25</v>
      </c>
      <c r="N22" s="79">
        <v>26</v>
      </c>
      <c r="O22" s="79">
        <v>27</v>
      </c>
      <c r="P22" s="79">
        <v>28</v>
      </c>
      <c r="Q22" s="79">
        <v>29</v>
      </c>
      <c r="R22" s="79">
        <v>30</v>
      </c>
      <c r="S22" s="79">
        <v>31</v>
      </c>
      <c r="T22" s="109" t="s">
        <v>8</v>
      </c>
      <c r="U22" s="82"/>
      <c r="V22" s="133" t="s">
        <v>12</v>
      </c>
      <c r="W22" s="133" t="s">
        <v>101</v>
      </c>
      <c r="X22" s="133" t="s">
        <v>102</v>
      </c>
      <c r="Y22" s="133" t="s">
        <v>12</v>
      </c>
      <c r="Z22" s="133" t="s">
        <v>101</v>
      </c>
      <c r="AA22" s="133" t="s">
        <v>102</v>
      </c>
      <c r="AB22" s="87"/>
      <c r="AC22" s="28"/>
      <c r="AD22" s="87"/>
      <c r="AE22" s="28"/>
    </row>
    <row r="23" spans="1:31" ht="31.5" customHeight="1" x14ac:dyDescent="0.2">
      <c r="A23" s="24"/>
      <c r="B23" s="139"/>
      <c r="C23" s="24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1"/>
      <c r="Q23" s="81"/>
      <c r="R23" s="81"/>
      <c r="S23" s="81"/>
      <c r="T23" s="88" t="s">
        <v>9</v>
      </c>
      <c r="U23" s="89"/>
      <c r="V23" s="134"/>
      <c r="W23" s="134"/>
      <c r="X23" s="134"/>
      <c r="Y23" s="134"/>
      <c r="Z23" s="134"/>
      <c r="AA23" s="134"/>
      <c r="AB23" s="87"/>
      <c r="AC23" s="24"/>
      <c r="AD23" s="87"/>
      <c r="AE23" s="24"/>
    </row>
    <row r="24" spans="1:31" ht="12.6" customHeight="1" x14ac:dyDescent="0.2">
      <c r="A24" s="27">
        <v>1</v>
      </c>
      <c r="B24" s="26">
        <v>2</v>
      </c>
      <c r="C24" s="26">
        <v>3</v>
      </c>
      <c r="D24" s="135">
        <v>4</v>
      </c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26">
        <v>5</v>
      </c>
      <c r="U24" s="26">
        <v>6</v>
      </c>
      <c r="V24" s="26">
        <v>7</v>
      </c>
      <c r="W24" s="26">
        <v>8</v>
      </c>
      <c r="X24" s="26">
        <v>9</v>
      </c>
      <c r="Y24" s="26">
        <v>7</v>
      </c>
      <c r="Z24" s="26">
        <v>8</v>
      </c>
      <c r="AA24" s="26">
        <v>9</v>
      </c>
      <c r="AB24" s="26">
        <v>10</v>
      </c>
      <c r="AC24" s="26">
        <v>11</v>
      </c>
      <c r="AD24" s="26">
        <v>12</v>
      </c>
      <c r="AE24" s="26">
        <v>13</v>
      </c>
    </row>
    <row r="25" spans="1:31" ht="12.6" customHeight="1" x14ac:dyDescent="0.2">
      <c r="A25" s="122" t="s">
        <v>86</v>
      </c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4"/>
    </row>
    <row r="26" spans="1:31" ht="13.5" customHeight="1" x14ac:dyDescent="0.2">
      <c r="A26" s="86">
        <v>1</v>
      </c>
      <c r="B26" s="156" t="s">
        <v>106</v>
      </c>
      <c r="C26" s="129" t="s">
        <v>107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30">
        <f>COUNTIF(D26:R26,"Я")</f>
        <v>0</v>
      </c>
      <c r="U26" s="77">
        <f>T26+T28</f>
        <v>0</v>
      </c>
      <c r="V26" s="31"/>
      <c r="W26" s="30"/>
      <c r="X26" s="30"/>
      <c r="Y26" s="32"/>
      <c r="Z26" s="30"/>
      <c r="AA26" s="1"/>
      <c r="AB26" s="1"/>
      <c r="AC26" s="1"/>
      <c r="AD26" s="30" t="s">
        <v>40</v>
      </c>
      <c r="AE26" s="33">
        <f>COUNTIF(D26:S29,"В")</f>
        <v>0</v>
      </c>
    </row>
    <row r="27" spans="1:31" ht="13.5" customHeight="1" x14ac:dyDescent="0.2">
      <c r="A27" s="86"/>
      <c r="B27" s="157"/>
      <c r="C27" s="130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>
        <f>SUMPRODUCT(D27:R27)</f>
        <v>0</v>
      </c>
      <c r="U27" s="78"/>
      <c r="V27" s="35"/>
      <c r="W27" s="21"/>
      <c r="X27" s="21"/>
      <c r="Y27" s="34"/>
      <c r="Z27" s="34"/>
      <c r="AA27" s="36"/>
      <c r="AB27" s="1"/>
      <c r="AC27" s="21"/>
      <c r="AD27" s="30"/>
      <c r="AE27" s="22"/>
    </row>
    <row r="28" spans="1:31" ht="15.75" customHeight="1" x14ac:dyDescent="0.2">
      <c r="A28" s="86"/>
      <c r="B28" s="2" t="s">
        <v>97</v>
      </c>
      <c r="C28" s="13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1">
        <f>COUNTIF(D28:P28:Q28:R28,"Я")</f>
        <v>0</v>
      </c>
      <c r="U28" s="78">
        <f>T27+T29</f>
        <v>0</v>
      </c>
      <c r="V28" s="35"/>
      <c r="W28" s="34"/>
      <c r="X28" s="21"/>
      <c r="Y28" s="36"/>
      <c r="Z28" s="21"/>
      <c r="AA28" s="34"/>
      <c r="AB28" s="1"/>
      <c r="AC28" s="1"/>
      <c r="AD28" s="30"/>
      <c r="AE28" s="22"/>
    </row>
    <row r="29" spans="1:31" ht="13.5" customHeight="1" x14ac:dyDescent="0.2">
      <c r="A29" s="86"/>
      <c r="B29" s="3" t="s">
        <v>33</v>
      </c>
      <c r="C29" s="131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34">
        <f>SUMPRODUCT(D29:S29)</f>
        <v>0</v>
      </c>
      <c r="U29" s="78"/>
      <c r="V29" s="35"/>
      <c r="W29" s="21"/>
      <c r="X29" s="21"/>
      <c r="Y29" s="34"/>
      <c r="Z29" s="21"/>
      <c r="AA29" s="21"/>
      <c r="AB29" s="34"/>
      <c r="AC29" s="21"/>
      <c r="AD29" s="21"/>
      <c r="AE29" s="22"/>
    </row>
    <row r="30" spans="1:31" ht="14.25" customHeight="1" x14ac:dyDescent="0.2">
      <c r="A30" s="86">
        <v>2</v>
      </c>
      <c r="B30" s="154" t="s">
        <v>65</v>
      </c>
      <c r="C30" s="76" t="s">
        <v>45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30">
        <f>COUNTIF(D30:R30,"Я")</f>
        <v>0</v>
      </c>
      <c r="U30" s="77">
        <f>T30+T32</f>
        <v>0</v>
      </c>
      <c r="V30" s="31"/>
      <c r="W30" s="30"/>
      <c r="X30" s="30"/>
      <c r="Y30" s="32"/>
      <c r="Z30" s="30"/>
      <c r="AA30" s="1"/>
      <c r="AB30" s="1"/>
      <c r="AC30" s="21"/>
      <c r="AD30" s="30" t="s">
        <v>40</v>
      </c>
      <c r="AE30" s="33">
        <f>COUNTIF(D30:S33,"В")</f>
        <v>0</v>
      </c>
    </row>
    <row r="31" spans="1:31" ht="13.5" customHeight="1" x14ac:dyDescent="0.2">
      <c r="A31" s="86"/>
      <c r="B31" s="155"/>
      <c r="C31" s="7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34">
        <f>SUMPRODUCT(D31:R31)</f>
        <v>0</v>
      </c>
      <c r="U31" s="78"/>
      <c r="V31" s="35"/>
      <c r="W31" s="21"/>
      <c r="X31" s="21"/>
      <c r="Y31" s="34"/>
      <c r="Z31" s="34"/>
      <c r="AA31" s="36"/>
      <c r="AB31" s="1"/>
      <c r="AC31" s="21"/>
      <c r="AD31" s="30"/>
      <c r="AE31" s="22"/>
    </row>
    <row r="32" spans="1:31" ht="12.75" customHeight="1" x14ac:dyDescent="0.2">
      <c r="A32" s="86"/>
      <c r="B32" s="2" t="s">
        <v>97</v>
      </c>
      <c r="C32" s="7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1">
        <f>COUNTIF(D32:P32:Q32:R32,"Я")</f>
        <v>0</v>
      </c>
      <c r="U32" s="78">
        <f>T31+T33</f>
        <v>0</v>
      </c>
      <c r="V32" s="35"/>
      <c r="W32" s="34"/>
      <c r="X32" s="21"/>
      <c r="Y32" s="36"/>
      <c r="Z32" s="21"/>
      <c r="AA32" s="34"/>
      <c r="AB32" s="34"/>
      <c r="AC32" s="34"/>
      <c r="AD32" s="30"/>
      <c r="AE32" s="22"/>
    </row>
    <row r="33" spans="1:33" ht="12.75" customHeight="1" x14ac:dyDescent="0.2">
      <c r="A33" s="86"/>
      <c r="B33" s="3" t="s">
        <v>35</v>
      </c>
      <c r="C33" s="7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34">
        <f>SUMPRODUCT(D33:S33)</f>
        <v>0</v>
      </c>
      <c r="U33" s="78"/>
      <c r="V33" s="35"/>
      <c r="W33" s="21"/>
      <c r="X33" s="21"/>
      <c r="Y33" s="34"/>
      <c r="Z33" s="21"/>
      <c r="AA33" s="21"/>
      <c r="AB33" s="34"/>
      <c r="AC33" s="21"/>
      <c r="AD33" s="21"/>
      <c r="AE33" s="22"/>
    </row>
    <row r="34" spans="1:33" ht="15" customHeight="1" x14ac:dyDescent="0.2">
      <c r="A34" s="86">
        <v>3</v>
      </c>
      <c r="B34" s="154" t="s">
        <v>66</v>
      </c>
      <c r="C34" s="76" t="s">
        <v>46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0">
        <f>COUNTIF(D34:R34,"Я")</f>
        <v>0</v>
      </c>
      <c r="U34" s="77">
        <f>T34+T36</f>
        <v>0</v>
      </c>
      <c r="V34" s="31"/>
      <c r="W34" s="30"/>
      <c r="X34" s="30"/>
      <c r="Y34" s="32"/>
      <c r="Z34" s="30"/>
      <c r="AA34" s="1"/>
      <c r="AB34" s="30"/>
      <c r="AC34" s="21"/>
      <c r="AD34" s="30" t="s">
        <v>40</v>
      </c>
      <c r="AE34" s="33">
        <f>COUNTIF(D34:S37,"В")</f>
        <v>0</v>
      </c>
    </row>
    <row r="35" spans="1:33" ht="13.5" customHeight="1" x14ac:dyDescent="0.2">
      <c r="A35" s="86"/>
      <c r="B35" s="155"/>
      <c r="C35" s="7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34">
        <f>SUMPRODUCT(D35:R35)</f>
        <v>0</v>
      </c>
      <c r="U35" s="78"/>
      <c r="V35" s="35"/>
      <c r="W35" s="21"/>
      <c r="X35" s="21"/>
      <c r="Y35" s="34"/>
      <c r="Z35" s="34"/>
      <c r="AA35" s="36"/>
      <c r="AB35" s="1"/>
      <c r="AC35" s="21"/>
      <c r="AD35" s="30"/>
      <c r="AE35" s="22"/>
    </row>
    <row r="36" spans="1:33" ht="15.75" customHeight="1" x14ac:dyDescent="0.2">
      <c r="A36" s="86"/>
      <c r="B36" s="2" t="s">
        <v>97</v>
      </c>
      <c r="C36" s="7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21">
        <f>COUNTIF(D36:P36:Q36:R36,"Я")</f>
        <v>0</v>
      </c>
      <c r="U36" s="78">
        <f>T35+T37</f>
        <v>0</v>
      </c>
      <c r="V36" s="35"/>
      <c r="W36" s="34"/>
      <c r="X36" s="21"/>
      <c r="Y36" s="36"/>
      <c r="Z36" s="21"/>
      <c r="AA36" s="34"/>
      <c r="AB36" s="34"/>
      <c r="AC36" s="34"/>
      <c r="AD36" s="30"/>
      <c r="AE36" s="22"/>
    </row>
    <row r="37" spans="1:33" ht="12.75" customHeight="1" x14ac:dyDescent="0.2">
      <c r="A37" s="86"/>
      <c r="B37" s="3" t="s">
        <v>33</v>
      </c>
      <c r="C37" s="7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34">
        <f>SUMPRODUCT(D37:S37)</f>
        <v>0</v>
      </c>
      <c r="U37" s="78"/>
      <c r="V37" s="35"/>
      <c r="W37" s="21"/>
      <c r="X37" s="21"/>
      <c r="Y37" s="34"/>
      <c r="Z37" s="21"/>
      <c r="AA37" s="21"/>
      <c r="AB37" s="34"/>
      <c r="AC37" s="21"/>
      <c r="AD37" s="21"/>
      <c r="AE37" s="22"/>
    </row>
    <row r="38" spans="1:33" ht="13.5" customHeight="1" x14ac:dyDescent="0.2">
      <c r="A38" s="141">
        <v>4</v>
      </c>
      <c r="B38" s="154" t="s">
        <v>67</v>
      </c>
      <c r="C38" s="75" t="s">
        <v>47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0">
        <f>COUNTIF(D38:R38,"Я")</f>
        <v>0</v>
      </c>
      <c r="U38" s="77">
        <f>T38+T40</f>
        <v>0</v>
      </c>
      <c r="V38" s="31"/>
      <c r="W38" s="30"/>
      <c r="X38" s="30"/>
      <c r="Y38" s="32"/>
      <c r="Z38" s="30"/>
      <c r="AA38" s="1"/>
      <c r="AB38" s="1"/>
      <c r="AC38" s="21"/>
      <c r="AD38" s="30" t="s">
        <v>40</v>
      </c>
      <c r="AE38" s="33">
        <f>COUNTIF(D38:S41,"В")</f>
        <v>0</v>
      </c>
    </row>
    <row r="39" spans="1:33" ht="13.5" customHeight="1" x14ac:dyDescent="0.2">
      <c r="A39" s="86"/>
      <c r="B39" s="155"/>
      <c r="C39" s="7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34">
        <f>SUMPRODUCT(D39:R39)</f>
        <v>0</v>
      </c>
      <c r="U39" s="78"/>
      <c r="V39" s="35"/>
      <c r="W39" s="21"/>
      <c r="X39" s="21"/>
      <c r="Y39" s="34"/>
      <c r="Z39" s="34"/>
      <c r="AA39" s="36"/>
      <c r="AB39" s="1"/>
      <c r="AC39" s="22"/>
      <c r="AD39" s="1"/>
      <c r="AE39" s="22"/>
    </row>
    <row r="40" spans="1:33" ht="12.6" customHeight="1" x14ac:dyDescent="0.2">
      <c r="A40" s="86"/>
      <c r="B40" s="2" t="s">
        <v>97</v>
      </c>
      <c r="C40" s="7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21">
        <f>COUNTIF(D40:P40:Q40:R40,"Я")</f>
        <v>0</v>
      </c>
      <c r="U40" s="78">
        <f>T39+T41</f>
        <v>0</v>
      </c>
      <c r="V40" s="35"/>
      <c r="W40" s="34"/>
      <c r="X40" s="21"/>
      <c r="Y40" s="36"/>
      <c r="Z40" s="21"/>
      <c r="AA40" s="34"/>
      <c r="AB40" s="34"/>
      <c r="AC40" s="34"/>
      <c r="AD40" s="30"/>
      <c r="AE40" s="22"/>
    </row>
    <row r="41" spans="1:33" ht="12.6" customHeight="1" x14ac:dyDescent="0.2">
      <c r="A41" s="86"/>
      <c r="B41" s="44" t="s">
        <v>33</v>
      </c>
      <c r="C41" s="7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34">
        <f>SUMPRODUCT(D41:S41)</f>
        <v>0</v>
      </c>
      <c r="U41" s="78"/>
      <c r="V41" s="35"/>
      <c r="W41" s="21"/>
      <c r="X41" s="21"/>
      <c r="Y41" s="34"/>
      <c r="Z41" s="21"/>
      <c r="AA41" s="21"/>
      <c r="AB41" s="34"/>
      <c r="AC41" s="21"/>
      <c r="AD41" s="21"/>
      <c r="AE41" s="22"/>
    </row>
    <row r="42" spans="1:33" ht="12.6" customHeight="1" x14ac:dyDescent="0.2">
      <c r="A42" s="86">
        <v>5</v>
      </c>
      <c r="B42" s="154" t="s">
        <v>108</v>
      </c>
      <c r="C42" s="129" t="s">
        <v>109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0">
        <f>COUNTIF(D42:R42,"Я")</f>
        <v>0</v>
      </c>
      <c r="U42" s="77">
        <f>T42+T44</f>
        <v>0</v>
      </c>
      <c r="V42" s="31"/>
      <c r="W42" s="30"/>
      <c r="X42" s="30"/>
      <c r="Y42" s="32"/>
      <c r="Z42" s="30"/>
      <c r="AA42" s="1"/>
      <c r="AB42" s="1"/>
      <c r="AC42" s="21"/>
      <c r="AD42" s="30" t="s">
        <v>40</v>
      </c>
      <c r="AE42" s="33">
        <f>COUNTIF(D42:S45,"В")</f>
        <v>0</v>
      </c>
    </row>
    <row r="43" spans="1:33" ht="12.6" customHeight="1" x14ac:dyDescent="0.2">
      <c r="A43" s="86"/>
      <c r="B43" s="155"/>
      <c r="C43" s="130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34">
        <f>SUMPRODUCT(D43:R43)</f>
        <v>0</v>
      </c>
      <c r="U43" s="78"/>
      <c r="V43" s="35"/>
      <c r="W43" s="21"/>
      <c r="X43" s="21"/>
      <c r="Y43" s="34"/>
      <c r="Z43" s="34"/>
      <c r="AA43" s="36"/>
      <c r="AB43" s="1"/>
      <c r="AC43" s="21"/>
      <c r="AD43" s="30"/>
      <c r="AE43" s="22"/>
    </row>
    <row r="44" spans="1:33" ht="12.6" customHeight="1" x14ac:dyDescent="0.2">
      <c r="A44" s="86"/>
      <c r="B44" s="2" t="s">
        <v>97</v>
      </c>
      <c r="C44" s="13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1">
        <f>COUNTIF(D44:P44:Q44:R44,"Я")</f>
        <v>0</v>
      </c>
      <c r="U44" s="78">
        <f>T43+T45</f>
        <v>0</v>
      </c>
      <c r="V44" s="35"/>
      <c r="W44" s="34"/>
      <c r="X44" s="21"/>
      <c r="Y44" s="36"/>
      <c r="Z44" s="21"/>
      <c r="AA44" s="34"/>
      <c r="AB44" s="34"/>
      <c r="AC44" s="34"/>
      <c r="AD44" s="30"/>
      <c r="AE44" s="22"/>
    </row>
    <row r="45" spans="1:33" ht="12.6" customHeight="1" x14ac:dyDescent="0.2">
      <c r="A45" s="86"/>
      <c r="B45" s="3" t="s">
        <v>33</v>
      </c>
      <c r="C45" s="131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34">
        <f>SUMPRODUCT(D45:S45)</f>
        <v>0</v>
      </c>
      <c r="U45" s="78"/>
      <c r="V45" s="35"/>
      <c r="W45" s="21"/>
      <c r="X45" s="21"/>
      <c r="Y45" s="34"/>
      <c r="Z45" s="21"/>
      <c r="AA45" s="21"/>
      <c r="AB45" s="34"/>
      <c r="AC45" s="21"/>
      <c r="AD45" s="21"/>
      <c r="AE45" s="22"/>
      <c r="AG45" s="4" t="s">
        <v>34</v>
      </c>
    </row>
    <row r="46" spans="1:33" ht="12.6" customHeight="1" x14ac:dyDescent="0.2">
      <c r="A46" s="86">
        <v>6</v>
      </c>
      <c r="B46" s="154" t="s">
        <v>68</v>
      </c>
      <c r="C46" s="76" t="s">
        <v>48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0">
        <f>COUNTIF(D46:R46,"Я")</f>
        <v>0</v>
      </c>
      <c r="U46" s="77">
        <f>T46+T48</f>
        <v>0</v>
      </c>
      <c r="V46" s="31"/>
      <c r="W46" s="30"/>
      <c r="X46" s="30"/>
      <c r="Y46" s="32"/>
      <c r="Z46" s="30"/>
      <c r="AA46" s="1"/>
      <c r="AB46" s="1"/>
      <c r="AC46" s="21"/>
      <c r="AD46" s="30" t="s">
        <v>40</v>
      </c>
      <c r="AE46" s="33">
        <f>COUNTIF(D46:S49,"В")</f>
        <v>0</v>
      </c>
    </row>
    <row r="47" spans="1:33" ht="12.6" customHeight="1" x14ac:dyDescent="0.2">
      <c r="A47" s="86"/>
      <c r="B47" s="155"/>
      <c r="C47" s="7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34">
        <f>SUMPRODUCT(D47:R47)</f>
        <v>0</v>
      </c>
      <c r="U47" s="78"/>
      <c r="V47" s="35"/>
      <c r="W47" s="21"/>
      <c r="X47" s="21"/>
      <c r="Y47" s="34"/>
      <c r="Z47" s="34"/>
      <c r="AA47" s="36"/>
      <c r="AB47" s="1"/>
      <c r="AC47" s="21"/>
      <c r="AD47" s="30"/>
      <c r="AE47" s="22"/>
    </row>
    <row r="48" spans="1:33" ht="12.6" customHeight="1" x14ac:dyDescent="0.2">
      <c r="A48" s="86"/>
      <c r="B48" s="2" t="s">
        <v>97</v>
      </c>
      <c r="C48" s="7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1">
        <f>COUNTIF(D48:P48:Q48:R48,"Я")</f>
        <v>0</v>
      </c>
      <c r="U48" s="78">
        <f>T47+T49</f>
        <v>0</v>
      </c>
      <c r="V48" s="35"/>
      <c r="W48" s="34"/>
      <c r="X48" s="21"/>
      <c r="Y48" s="36"/>
      <c r="Z48" s="21"/>
      <c r="AA48" s="34"/>
      <c r="AB48" s="34"/>
      <c r="AC48" s="34"/>
      <c r="AD48" s="30"/>
      <c r="AE48" s="22"/>
    </row>
    <row r="49" spans="1:41" ht="12.6" customHeight="1" x14ac:dyDescent="0.2">
      <c r="A49" s="86"/>
      <c r="B49" s="3" t="s">
        <v>33</v>
      </c>
      <c r="C49" s="7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34">
        <f>SUMPRODUCT(D49:S49)</f>
        <v>0</v>
      </c>
      <c r="U49" s="78"/>
      <c r="V49" s="35"/>
      <c r="W49" s="21"/>
      <c r="X49" s="21"/>
      <c r="Y49" s="34"/>
      <c r="Z49" s="21"/>
      <c r="AA49" s="21"/>
      <c r="AB49" s="34"/>
      <c r="AC49" s="21"/>
      <c r="AD49" s="21"/>
      <c r="AE49" s="22"/>
    </row>
    <row r="50" spans="1:41" ht="12.6" customHeight="1" x14ac:dyDescent="0.2">
      <c r="A50" s="86">
        <v>7</v>
      </c>
      <c r="B50" s="154" t="s">
        <v>69</v>
      </c>
      <c r="C50" s="76" t="s">
        <v>49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0">
        <f>COUNTIF(D50:R50,"Я")</f>
        <v>0</v>
      </c>
      <c r="U50" s="77">
        <f>T50+T52</f>
        <v>0</v>
      </c>
      <c r="V50" s="31"/>
      <c r="W50" s="30"/>
      <c r="X50" s="30"/>
      <c r="Y50" s="32"/>
      <c r="Z50" s="30"/>
      <c r="AA50" s="1"/>
      <c r="AB50" s="1"/>
      <c r="AC50" s="1"/>
      <c r="AD50" s="30" t="s">
        <v>40</v>
      </c>
      <c r="AE50" s="33">
        <f>COUNTIF(D50:S53,"В")</f>
        <v>0</v>
      </c>
    </row>
    <row r="51" spans="1:41" ht="12.6" customHeight="1" x14ac:dyDescent="0.2">
      <c r="A51" s="86"/>
      <c r="B51" s="155"/>
      <c r="C51" s="7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34">
        <f>SUMPRODUCT(D51:R51)</f>
        <v>0</v>
      </c>
      <c r="U51" s="78"/>
      <c r="V51" s="35"/>
      <c r="W51" s="21"/>
      <c r="X51" s="21"/>
      <c r="Y51" s="34"/>
      <c r="Z51" s="34"/>
      <c r="AA51" s="36"/>
      <c r="AB51" s="1"/>
      <c r="AC51" s="1"/>
      <c r="AD51" s="30"/>
      <c r="AE51" s="22"/>
    </row>
    <row r="52" spans="1:41" ht="12.6" customHeight="1" x14ac:dyDescent="0.2">
      <c r="A52" s="86"/>
      <c r="B52" s="2" t="s">
        <v>97</v>
      </c>
      <c r="C52" s="7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21">
        <f>COUNTIF(D52:P52:Q52:R52,"Я")</f>
        <v>0</v>
      </c>
      <c r="U52" s="78">
        <f>T51+T53</f>
        <v>0</v>
      </c>
      <c r="V52" s="35"/>
      <c r="W52" s="34"/>
      <c r="X52" s="21"/>
      <c r="Y52" s="36"/>
      <c r="Z52" s="21"/>
      <c r="AA52" s="34"/>
      <c r="AB52" s="34"/>
      <c r="AC52" s="34"/>
      <c r="AD52" s="30"/>
      <c r="AE52" s="22"/>
    </row>
    <row r="53" spans="1:41" ht="12.6" customHeight="1" x14ac:dyDescent="0.2">
      <c r="A53" s="86"/>
      <c r="B53" s="3" t="s">
        <v>33</v>
      </c>
      <c r="C53" s="7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34">
        <f>SUMPRODUCT(D53:S53)</f>
        <v>0</v>
      </c>
      <c r="U53" s="78"/>
      <c r="V53" s="35"/>
      <c r="W53" s="21"/>
      <c r="X53" s="21"/>
      <c r="Y53" s="34"/>
      <c r="Z53" s="21"/>
      <c r="AA53" s="21"/>
      <c r="AB53" s="34"/>
      <c r="AC53" s="21"/>
      <c r="AD53" s="21"/>
      <c r="AE53" s="22"/>
    </row>
    <row r="54" spans="1:41" ht="12" customHeight="1" x14ac:dyDescent="0.2">
      <c r="A54" s="86">
        <v>8</v>
      </c>
      <c r="B54" s="154" t="s">
        <v>70</v>
      </c>
      <c r="C54" s="76" t="s">
        <v>50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0">
        <f>COUNTIF(D54:R54,"Я")</f>
        <v>0</v>
      </c>
      <c r="U54" s="77">
        <f>T54+T56</f>
        <v>0</v>
      </c>
      <c r="V54" s="31"/>
      <c r="W54" s="30"/>
      <c r="X54" s="30"/>
      <c r="Y54" s="32"/>
      <c r="Z54" s="30"/>
      <c r="AA54" s="1"/>
      <c r="AB54" s="1"/>
      <c r="AC54" s="21"/>
      <c r="AD54" s="30" t="s">
        <v>40</v>
      </c>
      <c r="AE54" s="33">
        <f>COUNTIF(D54:S57,"В")</f>
        <v>0</v>
      </c>
    </row>
    <row r="55" spans="1:41" ht="12.75" customHeight="1" x14ac:dyDescent="0.2">
      <c r="A55" s="86"/>
      <c r="B55" s="155"/>
      <c r="C55" s="7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34">
        <f>SUMPRODUCT(D55:R55)</f>
        <v>0</v>
      </c>
      <c r="U55" s="78"/>
      <c r="V55" s="35"/>
      <c r="W55" s="21"/>
      <c r="X55" s="21"/>
      <c r="Y55" s="34"/>
      <c r="Z55" s="34"/>
      <c r="AA55" s="36"/>
      <c r="AB55" s="1"/>
      <c r="AC55" s="21"/>
      <c r="AD55" s="30"/>
      <c r="AE55" s="22"/>
    </row>
    <row r="56" spans="1:41" ht="13.5" customHeight="1" x14ac:dyDescent="0.2">
      <c r="A56" s="86"/>
      <c r="B56" s="2" t="s">
        <v>97</v>
      </c>
      <c r="C56" s="7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21">
        <f>COUNTIF(D56:P56:Q56:R56,"Я")</f>
        <v>0</v>
      </c>
      <c r="U56" s="78">
        <f>T55+T57</f>
        <v>0</v>
      </c>
      <c r="V56" s="35"/>
      <c r="W56" s="34"/>
      <c r="X56" s="21"/>
      <c r="Y56" s="36"/>
      <c r="Z56" s="21"/>
      <c r="AA56" s="34"/>
      <c r="AB56" s="34"/>
      <c r="AC56" s="34"/>
      <c r="AD56" s="30"/>
      <c r="AE56" s="22"/>
    </row>
    <row r="57" spans="1:41" ht="14.25" customHeight="1" x14ac:dyDescent="0.2">
      <c r="A57" s="86"/>
      <c r="B57" s="3" t="s">
        <v>33</v>
      </c>
      <c r="C57" s="7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34">
        <f>SUMPRODUCT(D57:S57)</f>
        <v>0</v>
      </c>
      <c r="U57" s="78"/>
      <c r="V57" s="35"/>
      <c r="W57" s="21"/>
      <c r="X57" s="21"/>
      <c r="Y57" s="34"/>
      <c r="Z57" s="21"/>
      <c r="AA57" s="21"/>
      <c r="AB57" s="34"/>
      <c r="AC57" s="21"/>
      <c r="AD57" s="21"/>
      <c r="AE57" s="22"/>
    </row>
    <row r="58" spans="1:41" ht="12.75" customHeight="1" x14ac:dyDescent="0.2">
      <c r="A58" s="86">
        <v>9</v>
      </c>
      <c r="B58" s="154" t="s">
        <v>71</v>
      </c>
      <c r="C58" s="76" t="s">
        <v>51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0">
        <f>COUNTIF(D58:R58,"Я")</f>
        <v>0</v>
      </c>
      <c r="U58" s="77">
        <f>T58+T60</f>
        <v>0</v>
      </c>
      <c r="V58" s="31"/>
      <c r="W58" s="30"/>
      <c r="X58" s="30"/>
      <c r="Y58" s="32"/>
      <c r="Z58" s="30"/>
      <c r="AA58" s="1"/>
      <c r="AB58" s="1"/>
      <c r="AC58" s="21"/>
      <c r="AD58" s="30" t="s">
        <v>40</v>
      </c>
      <c r="AE58" s="33">
        <f>COUNTIF(D58:S61,"В")</f>
        <v>0</v>
      </c>
      <c r="AF58" s="37"/>
      <c r="AG58" s="37"/>
      <c r="AH58" s="37"/>
      <c r="AI58" s="37"/>
      <c r="AJ58" s="37"/>
      <c r="AK58" s="37"/>
      <c r="AL58" s="37"/>
      <c r="AM58" s="37"/>
      <c r="AN58" s="37"/>
      <c r="AO58" s="37"/>
    </row>
    <row r="59" spans="1:41" ht="12.75" customHeight="1" x14ac:dyDescent="0.2">
      <c r="A59" s="86"/>
      <c r="B59" s="155"/>
      <c r="C59" s="7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34">
        <f>SUMPRODUCT(D59:R59)</f>
        <v>0</v>
      </c>
      <c r="U59" s="78"/>
      <c r="V59" s="35"/>
      <c r="W59" s="21"/>
      <c r="X59" s="21"/>
      <c r="Y59" s="34"/>
      <c r="Z59" s="34"/>
      <c r="AA59" s="36"/>
      <c r="AB59" s="1"/>
      <c r="AC59" s="21"/>
      <c r="AD59" s="30"/>
      <c r="AE59" s="22"/>
      <c r="AF59" s="37"/>
      <c r="AG59" s="37"/>
      <c r="AH59" s="37"/>
      <c r="AI59" s="37"/>
      <c r="AJ59" s="37"/>
      <c r="AK59" s="37"/>
      <c r="AL59" s="37"/>
      <c r="AM59" s="37"/>
      <c r="AN59" s="37"/>
      <c r="AO59" s="37"/>
    </row>
    <row r="60" spans="1:41" ht="12.75" customHeight="1" x14ac:dyDescent="0.2">
      <c r="A60" s="86"/>
      <c r="B60" s="2" t="s">
        <v>97</v>
      </c>
      <c r="C60" s="7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">
        <f>COUNTIF(D60:P60:Q60:R60,"Я")</f>
        <v>0</v>
      </c>
      <c r="U60" s="78">
        <f>T59+T61</f>
        <v>0</v>
      </c>
      <c r="V60" s="35"/>
      <c r="W60" s="34"/>
      <c r="X60" s="21"/>
      <c r="Y60" s="36"/>
      <c r="Z60" s="21"/>
      <c r="AA60" s="34"/>
      <c r="AB60" s="34"/>
      <c r="AC60" s="34"/>
      <c r="AD60" s="30"/>
      <c r="AE60" s="22"/>
      <c r="AF60" s="37" t="s">
        <v>37</v>
      </c>
      <c r="AG60" s="37"/>
      <c r="AH60" s="37"/>
      <c r="AI60" s="37"/>
      <c r="AJ60" s="37"/>
      <c r="AK60" s="37"/>
      <c r="AL60" s="37"/>
      <c r="AM60" s="37"/>
      <c r="AN60" s="37"/>
      <c r="AO60" s="37"/>
    </row>
    <row r="61" spans="1:41" ht="12.75" customHeight="1" x14ac:dyDescent="0.2">
      <c r="A61" s="86"/>
      <c r="B61" s="3" t="s">
        <v>29</v>
      </c>
      <c r="C61" s="7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34">
        <f>SUMPRODUCT(D61:S61)</f>
        <v>0</v>
      </c>
      <c r="U61" s="78"/>
      <c r="V61" s="35"/>
      <c r="W61" s="21"/>
      <c r="X61" s="21"/>
      <c r="Y61" s="34"/>
      <c r="Z61" s="21"/>
      <c r="AA61" s="21"/>
      <c r="AB61" s="34"/>
      <c r="AC61" s="21"/>
      <c r="AD61" s="21"/>
      <c r="AE61" s="22"/>
      <c r="AF61" s="37"/>
      <c r="AG61" s="37"/>
      <c r="AH61" s="37"/>
      <c r="AI61" s="37"/>
      <c r="AJ61" s="37"/>
      <c r="AK61" s="37"/>
      <c r="AL61" s="37"/>
      <c r="AM61" s="37"/>
      <c r="AN61" s="37"/>
      <c r="AO61" s="37"/>
    </row>
    <row r="62" spans="1:41" ht="12.75" customHeight="1" x14ac:dyDescent="0.2">
      <c r="A62" s="86">
        <v>10</v>
      </c>
      <c r="B62" s="154" t="s">
        <v>72</v>
      </c>
      <c r="C62" s="76" t="s">
        <v>52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0">
        <f>COUNTIF(D62:R62,"Я")</f>
        <v>0</v>
      </c>
      <c r="U62" s="77">
        <f>T62+T64</f>
        <v>0</v>
      </c>
      <c r="V62" s="31"/>
      <c r="W62" s="30"/>
      <c r="X62" s="30"/>
      <c r="Y62" s="32"/>
      <c r="Z62" s="30"/>
      <c r="AA62" s="1"/>
      <c r="AB62" s="1"/>
      <c r="AC62" s="21"/>
      <c r="AD62" s="30" t="s">
        <v>40</v>
      </c>
      <c r="AE62" s="33">
        <f>COUNTIF(D62:S65,"В")</f>
        <v>0</v>
      </c>
      <c r="AF62" s="37"/>
      <c r="AG62" s="37"/>
      <c r="AH62" s="37"/>
      <c r="AI62" s="37"/>
      <c r="AJ62" s="37"/>
      <c r="AK62" s="37"/>
      <c r="AL62" s="37"/>
      <c r="AM62" s="37"/>
      <c r="AN62" s="37"/>
      <c r="AO62" s="37"/>
    </row>
    <row r="63" spans="1:41" ht="12" customHeight="1" x14ac:dyDescent="0.2">
      <c r="A63" s="86"/>
      <c r="B63" s="155"/>
      <c r="C63" s="7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4">
        <f>SUMPRODUCT(D63:R63)</f>
        <v>0</v>
      </c>
      <c r="U63" s="78"/>
      <c r="V63" s="35"/>
      <c r="W63" s="21"/>
      <c r="X63" s="21"/>
      <c r="Y63" s="34"/>
      <c r="Z63" s="34"/>
      <c r="AA63" s="36"/>
      <c r="AB63" s="1"/>
      <c r="AC63" s="21"/>
      <c r="AD63" s="30"/>
      <c r="AE63" s="22"/>
      <c r="AF63" s="37"/>
      <c r="AG63" s="37"/>
      <c r="AH63" s="37"/>
      <c r="AI63" s="37"/>
      <c r="AJ63" s="37"/>
      <c r="AK63" s="37"/>
      <c r="AL63" s="37"/>
      <c r="AM63" s="37"/>
      <c r="AN63" s="37"/>
      <c r="AO63" s="37"/>
    </row>
    <row r="64" spans="1:41" ht="12" customHeight="1" x14ac:dyDescent="0.2">
      <c r="A64" s="86"/>
      <c r="B64" s="2" t="s">
        <v>97</v>
      </c>
      <c r="C64" s="7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">
        <f>COUNTIF(D64:P64:Q64:R64,"Я")</f>
        <v>0</v>
      </c>
      <c r="U64" s="78">
        <f>T63+T65</f>
        <v>0</v>
      </c>
      <c r="V64" s="35"/>
      <c r="W64" s="34"/>
      <c r="X64" s="21"/>
      <c r="Y64" s="36"/>
      <c r="Z64" s="21"/>
      <c r="AA64" s="34"/>
      <c r="AB64" s="34"/>
      <c r="AC64" s="34"/>
      <c r="AD64" s="30"/>
      <c r="AE64" s="22"/>
      <c r="AF64" s="37"/>
      <c r="AG64" s="37"/>
      <c r="AH64" s="37"/>
      <c r="AI64" s="37"/>
      <c r="AJ64" s="37"/>
      <c r="AK64" s="37"/>
      <c r="AL64" s="37"/>
      <c r="AM64" s="37"/>
      <c r="AN64" s="37"/>
      <c r="AO64" s="37"/>
    </row>
    <row r="65" spans="1:41" ht="12.75" customHeight="1" x14ac:dyDescent="0.2">
      <c r="A65" s="86"/>
      <c r="B65" s="3" t="s">
        <v>29</v>
      </c>
      <c r="C65" s="7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34">
        <f>SUMPRODUCT(D65:S65)</f>
        <v>0</v>
      </c>
      <c r="U65" s="78"/>
      <c r="V65" s="35"/>
      <c r="W65" s="21"/>
      <c r="X65" s="21"/>
      <c r="Y65" s="34"/>
      <c r="Z65" s="21"/>
      <c r="AA65" s="21"/>
      <c r="AB65" s="34"/>
      <c r="AC65" s="21"/>
      <c r="AD65" s="21"/>
      <c r="AE65" s="22"/>
      <c r="AF65" s="37"/>
      <c r="AG65" s="37"/>
      <c r="AH65" s="37"/>
      <c r="AI65" s="37"/>
      <c r="AJ65" s="37"/>
      <c r="AK65" s="37"/>
      <c r="AL65" s="37"/>
      <c r="AM65" s="37"/>
      <c r="AN65" s="37"/>
      <c r="AO65" s="37"/>
    </row>
    <row r="66" spans="1:41" ht="11.25" customHeight="1" x14ac:dyDescent="0.2">
      <c r="A66" s="86">
        <v>11</v>
      </c>
      <c r="B66" s="154" t="s">
        <v>73</v>
      </c>
      <c r="C66" s="76" t="s">
        <v>53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0">
        <f>COUNTIF(D66:R66,"Я")</f>
        <v>0</v>
      </c>
      <c r="U66" s="77">
        <f>T66+T68</f>
        <v>0</v>
      </c>
      <c r="V66" s="31"/>
      <c r="W66" s="30"/>
      <c r="X66" s="30"/>
      <c r="Y66" s="32"/>
      <c r="Z66" s="30"/>
      <c r="AA66" s="1"/>
      <c r="AB66" s="1"/>
      <c r="AC66" s="21"/>
      <c r="AD66" s="30" t="s">
        <v>40</v>
      </c>
      <c r="AE66" s="33">
        <f>COUNTIF(D66:S69,"В")</f>
        <v>0</v>
      </c>
      <c r="AF66" s="37"/>
      <c r="AG66" s="37"/>
      <c r="AH66" s="37"/>
      <c r="AI66" s="37"/>
      <c r="AJ66" s="37"/>
      <c r="AK66" s="37"/>
      <c r="AL66" s="37"/>
      <c r="AM66" s="37"/>
      <c r="AN66" s="37"/>
      <c r="AO66" s="37"/>
    </row>
    <row r="67" spans="1:41" ht="12" customHeight="1" x14ac:dyDescent="0.2">
      <c r="A67" s="86"/>
      <c r="B67" s="155"/>
      <c r="C67" s="7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34">
        <f>SUMPRODUCT(D67:R67)</f>
        <v>0</v>
      </c>
      <c r="U67" s="78"/>
      <c r="V67" s="35"/>
      <c r="W67" s="21"/>
      <c r="X67" s="21"/>
      <c r="Y67" s="34"/>
      <c r="Z67" s="34"/>
      <c r="AA67" s="36"/>
      <c r="AB67" s="1"/>
      <c r="AC67" s="21"/>
      <c r="AD67" s="30"/>
      <c r="AE67" s="22"/>
      <c r="AF67" s="37"/>
      <c r="AG67" s="37"/>
      <c r="AH67" s="37"/>
      <c r="AI67" s="37"/>
      <c r="AJ67" s="37"/>
      <c r="AK67" s="37"/>
      <c r="AL67" s="37"/>
      <c r="AM67" s="37"/>
      <c r="AN67" s="37"/>
      <c r="AO67" s="37"/>
    </row>
    <row r="68" spans="1:41" ht="14.25" customHeight="1" x14ac:dyDescent="0.2">
      <c r="A68" s="86"/>
      <c r="B68" s="2" t="s">
        <v>97</v>
      </c>
      <c r="C68" s="7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">
        <f>COUNTIF(D68:P68:Q68:R68,"Я")</f>
        <v>0</v>
      </c>
      <c r="U68" s="78">
        <f>T67+T69</f>
        <v>0</v>
      </c>
      <c r="V68" s="35"/>
      <c r="W68" s="34"/>
      <c r="X68" s="21"/>
      <c r="Y68" s="36"/>
      <c r="Z68" s="21"/>
      <c r="AA68" s="34"/>
      <c r="AB68" s="34"/>
      <c r="AC68" s="34"/>
      <c r="AD68" s="30"/>
      <c r="AE68" s="22"/>
      <c r="AF68" s="37"/>
      <c r="AG68" s="37"/>
      <c r="AH68" s="37"/>
      <c r="AI68" s="37"/>
      <c r="AJ68" s="37"/>
      <c r="AK68" s="37"/>
      <c r="AL68" s="37"/>
      <c r="AM68" s="37"/>
      <c r="AN68" s="37"/>
      <c r="AO68" s="37"/>
    </row>
    <row r="69" spans="1:41" ht="12.75" customHeight="1" x14ac:dyDescent="0.2">
      <c r="A69" s="86"/>
      <c r="B69" s="3" t="s">
        <v>29</v>
      </c>
      <c r="C69" s="7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34">
        <f>SUMPRODUCT(D69:S69)</f>
        <v>0</v>
      </c>
      <c r="U69" s="78"/>
      <c r="V69" s="35"/>
      <c r="W69" s="21"/>
      <c r="X69" s="21"/>
      <c r="Y69" s="34"/>
      <c r="Z69" s="21"/>
      <c r="AA69" s="21"/>
      <c r="AB69" s="34"/>
      <c r="AC69" s="21"/>
      <c r="AD69" s="21"/>
      <c r="AE69" s="22"/>
      <c r="AF69" s="37"/>
      <c r="AG69" s="37"/>
      <c r="AH69" s="37"/>
      <c r="AI69" s="37"/>
      <c r="AJ69" s="37"/>
      <c r="AK69" s="37"/>
      <c r="AL69" s="37"/>
      <c r="AM69" s="37"/>
      <c r="AN69" s="37"/>
      <c r="AO69" s="37"/>
    </row>
    <row r="70" spans="1:41" ht="13.5" customHeight="1" x14ac:dyDescent="0.2">
      <c r="A70" s="37"/>
      <c r="B70" s="38"/>
      <c r="C70" s="3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39"/>
      <c r="V70" s="40"/>
      <c r="W70" s="8"/>
      <c r="X70" s="8"/>
      <c r="Y70" s="9"/>
      <c r="Z70" s="8"/>
      <c r="AA70" s="8"/>
      <c r="AB70" s="9"/>
      <c r="AC70" s="8"/>
      <c r="AD70" s="8"/>
      <c r="AE70" s="8"/>
      <c r="AF70" s="37"/>
      <c r="AG70" s="37"/>
      <c r="AH70" s="37"/>
      <c r="AI70" s="37"/>
      <c r="AJ70" s="37"/>
      <c r="AK70" s="37"/>
      <c r="AL70" s="37"/>
      <c r="AM70" s="37"/>
      <c r="AN70" s="37"/>
      <c r="AO70" s="37"/>
    </row>
    <row r="71" spans="1:41" ht="11.25" customHeight="1" x14ac:dyDescent="0.2">
      <c r="A71" s="37"/>
      <c r="B71" s="38"/>
      <c r="C71" s="3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39"/>
      <c r="V71" s="40"/>
      <c r="W71" s="8"/>
      <c r="X71" s="8"/>
      <c r="Y71" s="9"/>
      <c r="Z71" s="8"/>
      <c r="AA71" s="8"/>
      <c r="AB71" s="9"/>
      <c r="AC71" s="8"/>
      <c r="AD71" s="8"/>
      <c r="AE71" s="8"/>
      <c r="AF71" s="37"/>
      <c r="AG71" s="37"/>
      <c r="AH71" s="37"/>
      <c r="AI71" s="37"/>
      <c r="AJ71" s="37"/>
      <c r="AK71" s="37"/>
      <c r="AL71" s="37"/>
      <c r="AM71" s="37"/>
      <c r="AN71" s="37"/>
      <c r="AO71" s="37"/>
    </row>
    <row r="72" spans="1:41" ht="12.75" customHeight="1" x14ac:dyDescent="0.2">
      <c r="A72" s="37"/>
      <c r="B72" s="38"/>
      <c r="C72" s="3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39"/>
      <c r="V72" s="40"/>
      <c r="W72" s="8"/>
      <c r="X72" s="8"/>
      <c r="Y72" s="9"/>
      <c r="Z72" s="8"/>
      <c r="AA72" s="8"/>
      <c r="AB72" s="9"/>
      <c r="AC72" s="8"/>
      <c r="AD72" s="8"/>
      <c r="AE72" s="8"/>
      <c r="AF72" s="37"/>
      <c r="AG72" s="37"/>
      <c r="AH72" s="37"/>
      <c r="AI72" s="37"/>
      <c r="AJ72" s="37"/>
      <c r="AK72" s="37"/>
      <c r="AL72" s="37"/>
      <c r="AM72" s="37"/>
      <c r="AN72" s="37"/>
      <c r="AO72" s="37"/>
    </row>
    <row r="73" spans="1:41" ht="12.75" customHeight="1" thickBot="1" x14ac:dyDescent="0.25">
      <c r="A73" s="37"/>
      <c r="B73" s="38"/>
      <c r="C73" s="4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T73" s="8"/>
      <c r="U73" s="39" t="s">
        <v>37</v>
      </c>
      <c r="V73" s="40"/>
      <c r="W73" s="41"/>
      <c r="X73" s="8"/>
      <c r="Y73" s="42"/>
      <c r="AB73" s="8"/>
      <c r="AC73" s="8"/>
      <c r="AD73" s="8"/>
      <c r="AE73" s="8"/>
      <c r="AF73" s="37"/>
      <c r="AG73" s="37"/>
      <c r="AH73" s="37"/>
      <c r="AI73" s="37"/>
      <c r="AJ73" s="37"/>
      <c r="AK73" s="37"/>
      <c r="AL73" s="37"/>
      <c r="AM73" s="37"/>
      <c r="AN73" s="37"/>
      <c r="AO73" s="37"/>
    </row>
    <row r="74" spans="1:41" ht="12.75" customHeight="1" x14ac:dyDescent="0.2">
      <c r="A74" s="23"/>
      <c r="B74" s="137" t="s">
        <v>99</v>
      </c>
      <c r="C74" s="23"/>
      <c r="D74" s="84">
        <v>8</v>
      </c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 t="s">
        <v>7</v>
      </c>
      <c r="U74" s="85"/>
      <c r="V74" s="85" t="s">
        <v>13</v>
      </c>
      <c r="W74" s="85"/>
      <c r="X74" s="85"/>
      <c r="Y74" s="85"/>
      <c r="Z74" s="85"/>
      <c r="AA74" s="85"/>
      <c r="AB74" s="85" t="s">
        <v>16</v>
      </c>
      <c r="AC74" s="85"/>
      <c r="AD74" s="85"/>
      <c r="AE74" s="125"/>
      <c r="AF74" s="37"/>
      <c r="AG74" s="37"/>
      <c r="AH74" s="37"/>
      <c r="AI74" s="37"/>
      <c r="AJ74" s="37"/>
      <c r="AK74" s="37"/>
      <c r="AL74" s="37"/>
      <c r="AM74" s="37"/>
      <c r="AN74" s="37"/>
      <c r="AO74" s="37"/>
    </row>
    <row r="75" spans="1:41" s="47" customFormat="1" ht="11.25" customHeight="1" x14ac:dyDescent="0.2">
      <c r="A75" s="24"/>
      <c r="B75" s="138"/>
      <c r="C75" s="24"/>
      <c r="D75" s="82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 t="s">
        <v>14</v>
      </c>
      <c r="W75" s="83"/>
      <c r="X75" s="83"/>
      <c r="Y75" s="83"/>
      <c r="Z75" s="83"/>
      <c r="AA75" s="83"/>
      <c r="AB75" s="83"/>
      <c r="AC75" s="90"/>
      <c r="AD75" s="83"/>
      <c r="AE75" s="126"/>
      <c r="AF75" s="46"/>
      <c r="AG75" s="46"/>
      <c r="AH75" s="46"/>
      <c r="AI75" s="46"/>
      <c r="AJ75" s="46"/>
      <c r="AK75" s="46"/>
      <c r="AL75" s="46"/>
      <c r="AM75" s="46"/>
      <c r="AN75" s="46"/>
      <c r="AO75" s="46"/>
    </row>
    <row r="76" spans="1:41" ht="12" customHeight="1" x14ac:dyDescent="0.2">
      <c r="A76" s="25" t="s">
        <v>0</v>
      </c>
      <c r="B76" s="138"/>
      <c r="C76" s="25" t="s">
        <v>3</v>
      </c>
      <c r="D76" s="79">
        <v>1</v>
      </c>
      <c r="E76" s="79">
        <v>2</v>
      </c>
      <c r="F76" s="79">
        <v>3</v>
      </c>
      <c r="G76" s="79">
        <v>4</v>
      </c>
      <c r="H76" s="79">
        <v>5</v>
      </c>
      <c r="I76" s="79">
        <v>6</v>
      </c>
      <c r="J76" s="79">
        <v>7</v>
      </c>
      <c r="K76" s="79">
        <v>8</v>
      </c>
      <c r="L76" s="79">
        <v>9</v>
      </c>
      <c r="M76" s="79">
        <v>10</v>
      </c>
      <c r="N76" s="79">
        <v>11</v>
      </c>
      <c r="O76" s="79">
        <v>12</v>
      </c>
      <c r="P76" s="79">
        <v>13</v>
      </c>
      <c r="Q76" s="79">
        <v>14</v>
      </c>
      <c r="R76" s="79">
        <v>15</v>
      </c>
      <c r="S76" s="79"/>
      <c r="T76" s="12" t="s">
        <v>30</v>
      </c>
      <c r="U76" s="83" t="s">
        <v>6</v>
      </c>
      <c r="V76" s="90" t="s">
        <v>12</v>
      </c>
      <c r="W76" s="90"/>
      <c r="X76" s="90"/>
      <c r="Y76" s="90"/>
      <c r="Z76" s="90"/>
      <c r="AA76" s="90"/>
      <c r="AB76" s="109" t="s">
        <v>15</v>
      </c>
      <c r="AC76" s="23"/>
      <c r="AD76" s="110" t="s">
        <v>15</v>
      </c>
      <c r="AE76" s="23"/>
      <c r="AF76" s="37"/>
      <c r="AG76" s="37"/>
      <c r="AH76" s="37"/>
      <c r="AI76" s="37"/>
      <c r="AJ76" s="37"/>
      <c r="AK76" s="37"/>
      <c r="AL76" s="37"/>
      <c r="AM76" s="37"/>
      <c r="AN76" s="37"/>
      <c r="AO76" s="37"/>
    </row>
    <row r="77" spans="1:41" ht="12.75" customHeight="1" x14ac:dyDescent="0.2">
      <c r="A77" s="87" t="s">
        <v>2</v>
      </c>
      <c r="B77" s="138"/>
      <c r="C77" s="24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3" t="s">
        <v>31</v>
      </c>
      <c r="U77" s="109"/>
      <c r="V77" s="48"/>
      <c r="W77" s="49"/>
      <c r="X77" s="49"/>
      <c r="Y77" s="49"/>
      <c r="Z77" s="49"/>
      <c r="AA77" s="50"/>
      <c r="AB77" s="110"/>
      <c r="AC77" s="28"/>
      <c r="AD77" s="110"/>
      <c r="AE77" s="28"/>
      <c r="AF77" s="37"/>
      <c r="AG77" s="37"/>
      <c r="AH77" s="37"/>
      <c r="AI77" s="37"/>
      <c r="AJ77" s="37"/>
      <c r="AK77" s="37"/>
      <c r="AL77" s="37"/>
      <c r="AM77" s="37"/>
      <c r="AN77" s="37"/>
      <c r="AO77" s="37"/>
    </row>
    <row r="78" spans="1:41" ht="14.25" customHeight="1" x14ac:dyDescent="0.2">
      <c r="A78" s="87"/>
      <c r="B78" s="138"/>
      <c r="C78" s="24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3"/>
      <c r="U78" s="83"/>
      <c r="V78" s="87" t="s">
        <v>11</v>
      </c>
      <c r="W78" s="87"/>
      <c r="X78" s="87"/>
      <c r="Y78" s="87"/>
      <c r="Z78" s="87"/>
      <c r="AA78" s="87"/>
      <c r="AB78" s="109"/>
      <c r="AC78" s="28" t="s">
        <v>8</v>
      </c>
      <c r="AD78" s="110"/>
      <c r="AE78" s="28" t="s">
        <v>8</v>
      </c>
      <c r="AF78" s="37"/>
      <c r="AG78" s="37"/>
      <c r="AH78" s="37"/>
      <c r="AI78" s="37"/>
      <c r="AJ78" s="37"/>
      <c r="AK78" s="37"/>
      <c r="AL78" s="37"/>
      <c r="AM78" s="37"/>
      <c r="AN78" s="37"/>
      <c r="AO78" s="37"/>
    </row>
    <row r="79" spans="1:41" ht="12.75" customHeight="1" x14ac:dyDescent="0.2">
      <c r="A79" s="25" t="s">
        <v>1</v>
      </c>
      <c r="B79" s="138"/>
      <c r="C79" s="25" t="s">
        <v>4</v>
      </c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51" t="s">
        <v>32</v>
      </c>
      <c r="U79" s="109"/>
      <c r="V79" s="48"/>
      <c r="W79" s="49"/>
      <c r="X79" s="49"/>
      <c r="Y79" s="49"/>
      <c r="Z79" s="49"/>
      <c r="AA79" s="50"/>
      <c r="AB79" s="110"/>
      <c r="AC79" s="28" t="s">
        <v>10</v>
      </c>
      <c r="AD79" s="110"/>
      <c r="AE79" s="28" t="s">
        <v>10</v>
      </c>
      <c r="AF79" s="37"/>
      <c r="AG79" s="37"/>
      <c r="AH79" s="37"/>
      <c r="AI79" s="37"/>
      <c r="AJ79" s="37"/>
      <c r="AK79" s="37"/>
      <c r="AL79" s="37"/>
      <c r="AM79" s="37"/>
      <c r="AN79" s="37"/>
      <c r="AO79" s="37"/>
    </row>
    <row r="80" spans="1:41" ht="12.75" customHeight="1" x14ac:dyDescent="0.2">
      <c r="A80" s="24"/>
      <c r="B80" s="138"/>
      <c r="C80" s="24"/>
      <c r="D80" s="79">
        <v>16</v>
      </c>
      <c r="E80" s="79">
        <v>17</v>
      </c>
      <c r="F80" s="79">
        <v>18</v>
      </c>
      <c r="G80" s="79">
        <v>19</v>
      </c>
      <c r="H80" s="79">
        <v>20</v>
      </c>
      <c r="I80" s="79">
        <v>21</v>
      </c>
      <c r="J80" s="79">
        <v>22</v>
      </c>
      <c r="K80" s="79">
        <v>23</v>
      </c>
      <c r="L80" s="79">
        <v>24</v>
      </c>
      <c r="M80" s="79">
        <v>25</v>
      </c>
      <c r="N80" s="79">
        <v>26</v>
      </c>
      <c r="O80" s="79">
        <v>27</v>
      </c>
      <c r="P80" s="79">
        <v>28</v>
      </c>
      <c r="Q80" s="79">
        <v>29</v>
      </c>
      <c r="R80" s="79">
        <v>30</v>
      </c>
      <c r="S80" s="79">
        <v>31</v>
      </c>
      <c r="T80" s="83" t="s">
        <v>8</v>
      </c>
      <c r="U80" s="83"/>
      <c r="V80" s="133" t="s">
        <v>12</v>
      </c>
      <c r="W80" s="133" t="s">
        <v>101</v>
      </c>
      <c r="X80" s="133" t="s">
        <v>102</v>
      </c>
      <c r="Y80" s="133" t="s">
        <v>12</v>
      </c>
      <c r="Z80" s="133" t="s">
        <v>101</v>
      </c>
      <c r="AA80" s="133" t="s">
        <v>102</v>
      </c>
      <c r="AB80" s="109"/>
      <c r="AC80" s="28"/>
      <c r="AD80" s="110"/>
      <c r="AE80" s="28"/>
      <c r="AF80" s="37"/>
      <c r="AG80" s="37"/>
      <c r="AH80" s="37"/>
      <c r="AI80" s="37"/>
      <c r="AJ80" s="37"/>
      <c r="AK80" s="37"/>
      <c r="AL80" s="37"/>
      <c r="AM80" s="37"/>
      <c r="AN80" s="37"/>
      <c r="AO80" s="37"/>
    </row>
    <row r="81" spans="1:41" ht="25.5" customHeight="1" x14ac:dyDescent="0.2">
      <c r="A81" s="43"/>
      <c r="B81" s="139"/>
      <c r="C81" s="43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1"/>
      <c r="Q81" s="81"/>
      <c r="R81" s="81"/>
      <c r="S81" s="81"/>
      <c r="T81" s="83" t="s">
        <v>9</v>
      </c>
      <c r="U81" s="83"/>
      <c r="V81" s="134"/>
      <c r="W81" s="134"/>
      <c r="X81" s="134"/>
      <c r="Y81" s="134"/>
      <c r="Z81" s="134"/>
      <c r="AA81" s="134"/>
      <c r="AB81" s="109"/>
      <c r="AC81" s="43"/>
      <c r="AD81" s="110"/>
      <c r="AE81" s="43"/>
      <c r="AF81" s="37"/>
      <c r="AG81" s="37"/>
      <c r="AH81" s="37"/>
      <c r="AI81" s="37"/>
      <c r="AJ81" s="37"/>
      <c r="AK81" s="37"/>
      <c r="AL81" s="37"/>
      <c r="AM81" s="37"/>
      <c r="AN81" s="37"/>
      <c r="AO81" s="37"/>
    </row>
    <row r="82" spans="1:41" ht="15" customHeight="1" x14ac:dyDescent="0.2">
      <c r="A82" s="11">
        <v>1</v>
      </c>
      <c r="B82" s="12">
        <v>2</v>
      </c>
      <c r="C82" s="12">
        <v>3</v>
      </c>
      <c r="D82" s="148">
        <v>4</v>
      </c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2"/>
      <c r="U82" s="12"/>
      <c r="V82" s="12">
        <v>7</v>
      </c>
      <c r="W82" s="12">
        <v>8</v>
      </c>
      <c r="X82" s="12">
        <v>9</v>
      </c>
      <c r="Y82" s="12">
        <v>7</v>
      </c>
      <c r="Z82" s="12">
        <v>8</v>
      </c>
      <c r="AA82" s="12">
        <v>9</v>
      </c>
      <c r="AB82" s="12">
        <v>10</v>
      </c>
      <c r="AC82" s="12">
        <v>11</v>
      </c>
      <c r="AD82" s="12">
        <v>12</v>
      </c>
      <c r="AE82" s="52">
        <v>13</v>
      </c>
      <c r="AF82" s="37"/>
      <c r="AG82" s="37"/>
      <c r="AH82" s="37"/>
      <c r="AI82" s="37"/>
      <c r="AJ82" s="37"/>
      <c r="AK82" s="37"/>
      <c r="AL82" s="37"/>
      <c r="AM82" s="37"/>
      <c r="AN82" s="37"/>
      <c r="AO82" s="37"/>
    </row>
    <row r="83" spans="1:41" ht="15" customHeight="1" x14ac:dyDescent="0.2">
      <c r="A83" s="141">
        <v>12</v>
      </c>
      <c r="B83" s="154" t="s">
        <v>74</v>
      </c>
      <c r="C83" s="75" t="s">
        <v>54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0">
        <f>COUNTIF(D83:R83,"Я")</f>
        <v>0</v>
      </c>
      <c r="U83" s="77">
        <f>T83+T85</f>
        <v>0</v>
      </c>
      <c r="V83" s="31"/>
      <c r="W83" s="30"/>
      <c r="X83" s="30"/>
      <c r="Y83" s="32"/>
      <c r="Z83" s="30"/>
      <c r="AA83" s="1"/>
      <c r="AB83" s="1"/>
      <c r="AC83" s="21"/>
      <c r="AD83" s="30" t="s">
        <v>40</v>
      </c>
      <c r="AE83" s="33">
        <f>COUNTIF(D83:S86,"В")</f>
        <v>0</v>
      </c>
      <c r="AF83" s="37"/>
      <c r="AG83" s="37"/>
      <c r="AH83" s="37"/>
      <c r="AI83" s="37"/>
      <c r="AJ83" s="37"/>
      <c r="AK83" s="37"/>
      <c r="AL83" s="37"/>
      <c r="AM83" s="37"/>
      <c r="AN83" s="37"/>
      <c r="AO83" s="37"/>
    </row>
    <row r="84" spans="1:41" ht="15" customHeight="1" x14ac:dyDescent="0.2">
      <c r="A84" s="86"/>
      <c r="B84" s="155"/>
      <c r="C84" s="7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34">
        <f>SUMPRODUCT(D84:R84)</f>
        <v>0</v>
      </c>
      <c r="U84" s="78"/>
      <c r="V84" s="35"/>
      <c r="W84" s="21"/>
      <c r="X84" s="21"/>
      <c r="Y84" s="34"/>
      <c r="Z84" s="34"/>
      <c r="AA84" s="36"/>
      <c r="AB84" s="1"/>
      <c r="AC84" s="21"/>
      <c r="AD84" s="30"/>
      <c r="AE84" s="22"/>
      <c r="AF84" s="37"/>
      <c r="AG84" s="37"/>
      <c r="AH84" s="37"/>
      <c r="AI84" s="37"/>
      <c r="AJ84" s="37"/>
      <c r="AK84" s="37"/>
      <c r="AL84" s="37"/>
      <c r="AM84" s="37"/>
      <c r="AN84" s="37"/>
      <c r="AO84" s="37"/>
    </row>
    <row r="85" spans="1:41" ht="15" customHeight="1" x14ac:dyDescent="0.2">
      <c r="A85" s="86"/>
      <c r="B85" s="2" t="s">
        <v>97</v>
      </c>
      <c r="C85" s="7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21">
        <f>COUNTIF(D85:P85:Q85:R85,"Я")</f>
        <v>0</v>
      </c>
      <c r="U85" s="78">
        <f>T84+T86</f>
        <v>0</v>
      </c>
      <c r="V85" s="35"/>
      <c r="W85" s="34"/>
      <c r="X85" s="21"/>
      <c r="Y85" s="36"/>
      <c r="Z85" s="21"/>
      <c r="AA85" s="34"/>
      <c r="AB85" s="34"/>
      <c r="AC85" s="34"/>
      <c r="AD85" s="30"/>
      <c r="AE85" s="22"/>
      <c r="AF85" s="37"/>
      <c r="AG85" s="37"/>
      <c r="AH85" s="37"/>
      <c r="AI85" s="37"/>
      <c r="AJ85" s="37"/>
      <c r="AK85" s="37"/>
      <c r="AL85" s="37"/>
      <c r="AM85" s="37"/>
      <c r="AN85" s="37"/>
      <c r="AO85" s="37"/>
    </row>
    <row r="86" spans="1:41" ht="12.75" customHeight="1" x14ac:dyDescent="0.2">
      <c r="A86" s="86"/>
      <c r="B86" s="3" t="s">
        <v>29</v>
      </c>
      <c r="C86" s="7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4">
        <f>SUMPRODUCT(D86:S86)</f>
        <v>0</v>
      </c>
      <c r="U86" s="78"/>
      <c r="V86" s="35"/>
      <c r="W86" s="21"/>
      <c r="X86" s="21"/>
      <c r="Y86" s="34"/>
      <c r="Z86" s="21"/>
      <c r="AA86" s="21"/>
      <c r="AB86" s="34"/>
      <c r="AC86" s="21"/>
      <c r="AD86" s="21"/>
      <c r="AE86" s="22"/>
      <c r="AF86" s="37"/>
      <c r="AG86" s="37"/>
      <c r="AH86" s="37"/>
      <c r="AI86" s="37"/>
      <c r="AJ86" s="37"/>
      <c r="AK86" s="37"/>
      <c r="AL86" s="37"/>
      <c r="AM86" s="37"/>
      <c r="AN86" s="37"/>
      <c r="AO86" s="37"/>
    </row>
    <row r="87" spans="1:41" ht="12.75" customHeight="1" x14ac:dyDescent="0.2">
      <c r="A87" s="86">
        <v>13</v>
      </c>
      <c r="B87" s="154" t="s">
        <v>75</v>
      </c>
      <c r="C87" s="76" t="s">
        <v>55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0">
        <f>COUNTIF(D87:R87,"Я")</f>
        <v>0</v>
      </c>
      <c r="U87" s="77">
        <f>T87+T89</f>
        <v>0</v>
      </c>
      <c r="V87" s="31"/>
      <c r="W87" s="30"/>
      <c r="X87" s="30"/>
      <c r="Y87" s="32"/>
      <c r="Z87" s="30"/>
      <c r="AA87" s="1"/>
      <c r="AB87" s="1"/>
      <c r="AC87" s="21"/>
      <c r="AD87" s="30" t="s">
        <v>40</v>
      </c>
      <c r="AE87" s="33">
        <f>COUNTIF(D87:S90,"В")</f>
        <v>0</v>
      </c>
      <c r="AF87" s="37"/>
      <c r="AG87" s="37"/>
      <c r="AH87" s="37"/>
      <c r="AI87" s="37"/>
      <c r="AJ87" s="37"/>
      <c r="AK87" s="37"/>
      <c r="AL87" s="37"/>
      <c r="AM87" s="37"/>
      <c r="AN87" s="37"/>
      <c r="AO87" s="37"/>
    </row>
    <row r="88" spans="1:41" ht="12.75" customHeight="1" x14ac:dyDescent="0.2">
      <c r="A88" s="86"/>
      <c r="B88" s="155"/>
      <c r="C88" s="7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34">
        <f>SUMPRODUCT(D88:R88)</f>
        <v>0</v>
      </c>
      <c r="U88" s="78"/>
      <c r="V88" s="35"/>
      <c r="W88" s="21"/>
      <c r="X88" s="21"/>
      <c r="Y88" s="34"/>
      <c r="Z88" s="34"/>
      <c r="AA88" s="36"/>
      <c r="AB88" s="1"/>
      <c r="AC88" s="21"/>
      <c r="AD88" s="30"/>
      <c r="AE88" s="22"/>
      <c r="AF88" s="37"/>
      <c r="AG88" s="37"/>
      <c r="AH88" s="37"/>
      <c r="AI88" s="37"/>
      <c r="AJ88" s="37"/>
      <c r="AK88" s="37"/>
      <c r="AL88" s="37"/>
      <c r="AM88" s="37"/>
      <c r="AN88" s="37"/>
      <c r="AO88" s="37"/>
    </row>
    <row r="89" spans="1:41" ht="12.75" customHeight="1" x14ac:dyDescent="0.2">
      <c r="A89" s="86"/>
      <c r="B89" s="2" t="s">
        <v>97</v>
      </c>
      <c r="C89" s="7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1">
        <f>COUNTIF(D89:P89:Q89:R89,"Я")</f>
        <v>0</v>
      </c>
      <c r="U89" s="78">
        <f>T88+T90</f>
        <v>0</v>
      </c>
      <c r="V89" s="35"/>
      <c r="W89" s="34"/>
      <c r="X89" s="21"/>
      <c r="Y89" s="36"/>
      <c r="Z89" s="21"/>
      <c r="AA89" s="34"/>
      <c r="AB89" s="34"/>
      <c r="AC89" s="34"/>
      <c r="AD89" s="30"/>
      <c r="AE89" s="22"/>
      <c r="AF89" s="37"/>
      <c r="AG89" s="37"/>
      <c r="AH89" s="37"/>
      <c r="AI89" s="37"/>
      <c r="AJ89" s="37"/>
      <c r="AK89" s="37"/>
      <c r="AL89" s="37"/>
      <c r="AM89" s="37"/>
      <c r="AN89" s="37"/>
      <c r="AO89" s="37"/>
    </row>
    <row r="90" spans="1:41" ht="12.6" customHeight="1" x14ac:dyDescent="0.2">
      <c r="A90" s="86"/>
      <c r="B90" s="3" t="s">
        <v>29</v>
      </c>
      <c r="C90" s="7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34">
        <f>SUMPRODUCT(D90:S90)</f>
        <v>0</v>
      </c>
      <c r="U90" s="78"/>
      <c r="V90" s="35"/>
      <c r="W90" s="21"/>
      <c r="X90" s="21"/>
      <c r="Y90" s="34"/>
      <c r="Z90" s="21"/>
      <c r="AA90" s="21"/>
      <c r="AB90" s="34"/>
      <c r="AC90" s="21"/>
      <c r="AD90" s="21"/>
      <c r="AE90" s="22"/>
    </row>
    <row r="91" spans="1:41" ht="12.6" customHeight="1" x14ac:dyDescent="0.2">
      <c r="A91" s="86">
        <v>14</v>
      </c>
      <c r="B91" s="154" t="s">
        <v>76</v>
      </c>
      <c r="C91" s="76" t="s">
        <v>56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0">
        <f>COUNTIF(D91:R91,"Я")</f>
        <v>0</v>
      </c>
      <c r="U91" s="77">
        <f>T91+T93</f>
        <v>0</v>
      </c>
      <c r="V91" s="31"/>
      <c r="W91" s="30"/>
      <c r="X91" s="30"/>
      <c r="Y91" s="32"/>
      <c r="Z91" s="30"/>
      <c r="AA91" s="1"/>
      <c r="AB91" s="1"/>
      <c r="AC91" s="21"/>
      <c r="AD91" s="30" t="s">
        <v>40</v>
      </c>
      <c r="AE91" s="33">
        <f>COUNTIF(D91:S94,"В")</f>
        <v>0</v>
      </c>
    </row>
    <row r="92" spans="1:41" ht="12" customHeight="1" x14ac:dyDescent="0.2">
      <c r="A92" s="86"/>
      <c r="B92" s="155"/>
      <c r="C92" s="7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34">
        <f>SUMPRODUCT(D92:R92)</f>
        <v>0</v>
      </c>
      <c r="U92" s="78"/>
      <c r="V92" s="35"/>
      <c r="W92" s="21"/>
      <c r="X92" s="21"/>
      <c r="Y92" s="34"/>
      <c r="Z92" s="34"/>
      <c r="AA92" s="36"/>
      <c r="AB92" s="1"/>
      <c r="AC92" s="21"/>
      <c r="AD92" s="30"/>
      <c r="AE92" s="22"/>
    </row>
    <row r="93" spans="1:41" ht="12.6" customHeight="1" x14ac:dyDescent="0.2">
      <c r="A93" s="86"/>
      <c r="B93" s="2" t="s">
        <v>97</v>
      </c>
      <c r="C93" s="7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1">
        <f>COUNTIF(D93:P93:Q93:R93,"Я")</f>
        <v>0</v>
      </c>
      <c r="U93" s="78">
        <f>T92+T94</f>
        <v>0</v>
      </c>
      <c r="V93" s="35"/>
      <c r="W93" s="34"/>
      <c r="X93" s="21"/>
      <c r="Y93" s="36"/>
      <c r="Z93" s="21"/>
      <c r="AA93" s="34"/>
      <c r="AB93" s="34"/>
      <c r="AC93" s="34"/>
      <c r="AD93" s="30"/>
      <c r="AE93" s="22"/>
    </row>
    <row r="94" spans="1:41" ht="12.6" customHeight="1" x14ac:dyDescent="0.2">
      <c r="A94" s="86"/>
      <c r="B94" s="3" t="s">
        <v>36</v>
      </c>
      <c r="C94" s="7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34">
        <f>SUMPRODUCT(D94:S94)</f>
        <v>0</v>
      </c>
      <c r="U94" s="78"/>
      <c r="V94" s="35"/>
      <c r="W94" s="21"/>
      <c r="X94" s="21"/>
      <c r="Y94" s="34"/>
      <c r="Z94" s="21"/>
      <c r="AA94" s="21"/>
      <c r="AB94" s="34"/>
      <c r="AC94" s="21"/>
      <c r="AD94" s="21"/>
      <c r="AE94" s="22"/>
    </row>
    <row r="95" spans="1:41" ht="15.75" customHeight="1" x14ac:dyDescent="0.2">
      <c r="A95" s="86">
        <v>15</v>
      </c>
      <c r="B95" s="154" t="s">
        <v>77</v>
      </c>
      <c r="C95" s="76" t="s">
        <v>57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0">
        <f>COUNTIF(D95:R95,"Я")</f>
        <v>0</v>
      </c>
      <c r="U95" s="77">
        <f>T95+T97</f>
        <v>0</v>
      </c>
      <c r="V95" s="31"/>
      <c r="W95" s="30"/>
      <c r="X95" s="30"/>
      <c r="Y95" s="32"/>
      <c r="Z95" s="30"/>
      <c r="AA95" s="1"/>
      <c r="AB95" s="6"/>
      <c r="AC95" s="21"/>
      <c r="AD95" s="30" t="s">
        <v>40</v>
      </c>
      <c r="AE95" s="33">
        <f>COUNTIF(D95:S98,"В")</f>
        <v>0</v>
      </c>
      <c r="AH95" s="4" t="s">
        <v>38</v>
      </c>
    </row>
    <row r="96" spans="1:41" ht="15" customHeight="1" x14ac:dyDescent="0.2">
      <c r="A96" s="86"/>
      <c r="B96" s="155"/>
      <c r="C96" s="7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34">
        <f>SUMPRODUCT(D96:R96)</f>
        <v>0</v>
      </c>
      <c r="U96" s="78"/>
      <c r="V96" s="35"/>
      <c r="W96" s="21"/>
      <c r="X96" s="21"/>
      <c r="Y96" s="34"/>
      <c r="Z96" s="34"/>
      <c r="AA96" s="36"/>
      <c r="AB96" s="6"/>
      <c r="AC96" s="21"/>
      <c r="AD96" s="30"/>
      <c r="AE96" s="22"/>
    </row>
    <row r="97" spans="1:31" ht="12.75" customHeight="1" x14ac:dyDescent="0.2">
      <c r="A97" s="86"/>
      <c r="B97" s="2" t="s">
        <v>97</v>
      </c>
      <c r="C97" s="7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1">
        <f>COUNTIF(D97:P97:Q97:R97,"Я")</f>
        <v>0</v>
      </c>
      <c r="U97" s="78">
        <f>T96+T98</f>
        <v>0</v>
      </c>
      <c r="V97" s="35"/>
      <c r="W97" s="34"/>
      <c r="X97" s="21"/>
      <c r="Y97" s="36"/>
      <c r="Z97" s="21"/>
      <c r="AA97" s="34"/>
      <c r="AB97" s="34"/>
      <c r="AC97" s="34"/>
      <c r="AD97" s="30"/>
      <c r="AE97" s="22"/>
    </row>
    <row r="98" spans="1:31" ht="15" customHeight="1" x14ac:dyDescent="0.2">
      <c r="A98" s="86"/>
      <c r="B98" s="3" t="s">
        <v>29</v>
      </c>
      <c r="C98" s="7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34">
        <f>SUMPRODUCT(D98:S98)</f>
        <v>0</v>
      </c>
      <c r="U98" s="78"/>
      <c r="V98" s="35"/>
      <c r="W98" s="21"/>
      <c r="X98" s="21"/>
      <c r="Y98" s="34"/>
      <c r="Z98" s="21"/>
      <c r="AA98" s="21"/>
      <c r="AB98" s="34"/>
      <c r="AC98" s="21"/>
      <c r="AD98" s="21"/>
      <c r="AE98" s="22"/>
    </row>
    <row r="99" spans="1:31" ht="15" customHeight="1" x14ac:dyDescent="0.2">
      <c r="A99" s="86">
        <v>16</v>
      </c>
      <c r="B99" s="154" t="s">
        <v>78</v>
      </c>
      <c r="C99" s="76" t="s">
        <v>58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0">
        <f>COUNTIF(D99:R99,"Я")</f>
        <v>0</v>
      </c>
      <c r="U99" s="77">
        <f>T99+T101</f>
        <v>0</v>
      </c>
      <c r="V99" s="31"/>
      <c r="W99" s="30"/>
      <c r="X99" s="30"/>
      <c r="Y99" s="32"/>
      <c r="Z99" s="30"/>
      <c r="AA99" s="1"/>
      <c r="AB99" s="34"/>
      <c r="AC99" s="21"/>
      <c r="AD99" s="30" t="s">
        <v>40</v>
      </c>
      <c r="AE99" s="33">
        <f>COUNTIF(D99:S102,"В")</f>
        <v>0</v>
      </c>
    </row>
    <row r="100" spans="1:31" ht="12" customHeight="1" x14ac:dyDescent="0.2">
      <c r="A100" s="86"/>
      <c r="B100" s="155"/>
      <c r="C100" s="7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34">
        <f>SUMPRODUCT(D100:R100)</f>
        <v>0</v>
      </c>
      <c r="U100" s="78"/>
      <c r="V100" s="35"/>
      <c r="W100" s="21"/>
      <c r="X100" s="21"/>
      <c r="Y100" s="34"/>
      <c r="Z100" s="34"/>
      <c r="AA100" s="36"/>
      <c r="AB100" s="6"/>
      <c r="AC100" s="21"/>
      <c r="AD100" s="30"/>
      <c r="AE100" s="22"/>
    </row>
    <row r="101" spans="1:31" ht="15" customHeight="1" x14ac:dyDescent="0.2">
      <c r="A101" s="86"/>
      <c r="B101" s="2" t="s">
        <v>97</v>
      </c>
      <c r="C101" s="7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1">
        <f>COUNTIF(D101:P101:Q101:R101,"Я")</f>
        <v>0</v>
      </c>
      <c r="U101" s="78">
        <f>T100+T102</f>
        <v>0</v>
      </c>
      <c r="V101" s="35"/>
      <c r="W101" s="34"/>
      <c r="X101" s="21"/>
      <c r="Y101" s="36"/>
      <c r="Z101" s="21"/>
      <c r="AA101" s="34"/>
      <c r="AB101" s="34"/>
      <c r="AC101" s="34"/>
      <c r="AD101" s="30"/>
      <c r="AE101" s="22"/>
    </row>
    <row r="102" spans="1:31" ht="15" customHeight="1" x14ac:dyDescent="0.2">
      <c r="A102" s="86"/>
      <c r="B102" s="3" t="s">
        <v>29</v>
      </c>
      <c r="C102" s="7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34">
        <f>SUMPRODUCT(D102:S102)</f>
        <v>0</v>
      </c>
      <c r="U102" s="78"/>
      <c r="V102" s="35"/>
      <c r="W102" s="21"/>
      <c r="X102" s="21"/>
      <c r="Y102" s="34"/>
      <c r="Z102" s="21"/>
      <c r="AA102" s="21"/>
      <c r="AB102" s="34"/>
      <c r="AC102" s="21"/>
      <c r="AD102" s="21"/>
      <c r="AE102" s="22"/>
    </row>
    <row r="103" spans="1:31" ht="15" customHeight="1" x14ac:dyDescent="0.2">
      <c r="A103" s="86">
        <v>17</v>
      </c>
      <c r="B103" s="154" t="s">
        <v>79</v>
      </c>
      <c r="C103" s="76" t="s">
        <v>59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0">
        <f>COUNTIF(D103:R103,"Я")</f>
        <v>0</v>
      </c>
      <c r="U103" s="77">
        <f>T103+T105</f>
        <v>0</v>
      </c>
      <c r="V103" s="31"/>
      <c r="W103" s="30"/>
      <c r="X103" s="30"/>
      <c r="Y103" s="32"/>
      <c r="Z103" s="30"/>
      <c r="AA103" s="1"/>
      <c r="AB103" s="1"/>
      <c r="AC103" s="21"/>
      <c r="AD103" s="30" t="s">
        <v>40</v>
      </c>
      <c r="AE103" s="33">
        <f>COUNTIF(D103:S106,"В")</f>
        <v>0</v>
      </c>
    </row>
    <row r="104" spans="1:31" ht="15.75" customHeight="1" x14ac:dyDescent="0.2">
      <c r="A104" s="86"/>
      <c r="B104" s="155"/>
      <c r="C104" s="7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34">
        <f>SUMPRODUCT(D104:R104)</f>
        <v>0</v>
      </c>
      <c r="U104" s="78"/>
      <c r="V104" s="35"/>
      <c r="W104" s="21"/>
      <c r="X104" s="21"/>
      <c r="Y104" s="34"/>
      <c r="Z104" s="34"/>
      <c r="AA104" s="36"/>
      <c r="AB104" s="1"/>
      <c r="AC104" s="21"/>
      <c r="AD104" s="30"/>
      <c r="AE104" s="22"/>
    </row>
    <row r="105" spans="1:31" ht="14.25" customHeight="1" x14ac:dyDescent="0.2">
      <c r="A105" s="86"/>
      <c r="B105" s="2" t="s">
        <v>97</v>
      </c>
      <c r="C105" s="7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21">
        <f>COUNTIF(D105:P105:Q105:R105,"Я")</f>
        <v>0</v>
      </c>
      <c r="U105" s="78">
        <f>T104+T106</f>
        <v>0</v>
      </c>
      <c r="V105" s="35"/>
      <c r="W105" s="34"/>
      <c r="X105" s="21"/>
      <c r="Y105" s="36"/>
      <c r="Z105" s="21"/>
      <c r="AA105" s="34"/>
      <c r="AB105" s="34"/>
      <c r="AC105" s="34"/>
      <c r="AD105" s="30"/>
      <c r="AE105" s="22"/>
    </row>
    <row r="106" spans="1:31" ht="15.75" customHeight="1" x14ac:dyDescent="0.2">
      <c r="A106" s="86"/>
      <c r="B106" s="3" t="s">
        <v>29</v>
      </c>
      <c r="C106" s="7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34">
        <f>SUMPRODUCT(D106:S106)</f>
        <v>0</v>
      </c>
      <c r="U106" s="78"/>
      <c r="V106" s="35"/>
      <c r="W106" s="21"/>
      <c r="X106" s="21"/>
      <c r="Y106" s="34"/>
      <c r="Z106" s="21"/>
      <c r="AA106" s="21"/>
      <c r="AB106" s="34"/>
      <c r="AC106" s="21"/>
      <c r="AD106" s="21"/>
      <c r="AE106" s="22"/>
    </row>
    <row r="107" spans="1:31" ht="15.75" customHeight="1" x14ac:dyDescent="0.2">
      <c r="A107" s="73">
        <v>18</v>
      </c>
      <c r="B107" s="154" t="s">
        <v>80</v>
      </c>
      <c r="C107" s="76" t="s">
        <v>60</v>
      </c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30">
        <f>COUNTIF(D107:R107,"Я")</f>
        <v>0</v>
      </c>
      <c r="U107" s="77">
        <f>T107+T109</f>
        <v>0</v>
      </c>
      <c r="V107" s="31"/>
      <c r="W107" s="30"/>
      <c r="X107" s="30"/>
      <c r="Y107" s="1"/>
      <c r="Z107" s="30"/>
      <c r="AA107" s="30"/>
      <c r="AB107" s="1"/>
      <c r="AC107" s="21"/>
      <c r="AD107" s="30" t="s">
        <v>40</v>
      </c>
      <c r="AE107" s="33">
        <f>COUNTIF(D107:S110,"В")</f>
        <v>0</v>
      </c>
    </row>
    <row r="108" spans="1:31" ht="15.75" customHeight="1" x14ac:dyDescent="0.2">
      <c r="A108" s="74"/>
      <c r="B108" s="155"/>
      <c r="C108" s="76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34">
        <f>SUMPRODUCT(D108:R108)</f>
        <v>0</v>
      </c>
      <c r="U108" s="78"/>
      <c r="V108" s="31"/>
      <c r="W108" s="30"/>
      <c r="X108" s="30"/>
      <c r="Y108" s="1"/>
      <c r="Z108" s="30"/>
      <c r="AA108" s="30"/>
      <c r="AB108" s="1"/>
      <c r="AC108" s="21"/>
      <c r="AD108" s="30"/>
      <c r="AE108" s="33"/>
    </row>
    <row r="109" spans="1:31" ht="15.75" customHeight="1" x14ac:dyDescent="0.2">
      <c r="A109" s="74"/>
      <c r="B109" s="2" t="s">
        <v>97</v>
      </c>
      <c r="C109" s="76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21">
        <f>COUNTIF(D109:P109:Q109:R109,"Я")</f>
        <v>0</v>
      </c>
      <c r="U109" s="78">
        <f>T108+T110</f>
        <v>0</v>
      </c>
      <c r="V109" s="31"/>
      <c r="W109" s="30"/>
      <c r="X109" s="30"/>
      <c r="Y109" s="1"/>
      <c r="Z109" s="30"/>
      <c r="AA109" s="30"/>
      <c r="AB109" s="1"/>
      <c r="AC109" s="21"/>
      <c r="AD109" s="30"/>
      <c r="AE109" s="33"/>
    </row>
    <row r="110" spans="1:31" ht="15.75" customHeight="1" x14ac:dyDescent="0.2">
      <c r="A110" s="74"/>
      <c r="B110" s="3" t="s">
        <v>29</v>
      </c>
      <c r="C110" s="76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34">
        <f>SUMPRODUCT(D110:S110)</f>
        <v>0</v>
      </c>
      <c r="U110" s="78"/>
      <c r="V110" s="31"/>
      <c r="W110" s="30"/>
      <c r="X110" s="30"/>
      <c r="Y110" s="1"/>
      <c r="Z110" s="30"/>
      <c r="AA110" s="30"/>
      <c r="AB110" s="1"/>
      <c r="AC110" s="21"/>
      <c r="AD110" s="30"/>
      <c r="AE110" s="33"/>
    </row>
    <row r="111" spans="1:31" ht="15" customHeight="1" x14ac:dyDescent="0.2">
      <c r="A111" s="73">
        <v>19</v>
      </c>
      <c r="B111" s="154" t="s">
        <v>81</v>
      </c>
      <c r="C111" s="75" t="s">
        <v>61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0">
        <f>COUNTIF(D111:R111,"Я")</f>
        <v>0</v>
      </c>
      <c r="U111" s="77">
        <f>T111+T113</f>
        <v>0</v>
      </c>
      <c r="V111" s="31"/>
      <c r="W111" s="30"/>
      <c r="X111" s="30"/>
      <c r="Y111" s="32"/>
      <c r="Z111" s="30"/>
      <c r="AA111" s="1"/>
      <c r="AB111" s="1"/>
      <c r="AC111" s="21"/>
      <c r="AD111" s="30" t="s">
        <v>40</v>
      </c>
      <c r="AE111" s="33">
        <f>COUNTIF(D111:S114,"В")</f>
        <v>0</v>
      </c>
    </row>
    <row r="112" spans="1:31" ht="15.75" customHeight="1" x14ac:dyDescent="0.2">
      <c r="A112" s="74"/>
      <c r="B112" s="155"/>
      <c r="C112" s="7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34">
        <f>SUMPRODUCT(D112:R112)</f>
        <v>0</v>
      </c>
      <c r="U112" s="78"/>
      <c r="V112" s="35"/>
      <c r="W112" s="21"/>
      <c r="X112" s="21"/>
      <c r="Y112" s="34"/>
      <c r="Z112" s="34"/>
      <c r="AA112" s="36"/>
      <c r="AB112" s="1"/>
      <c r="AC112" s="21"/>
      <c r="AD112" s="30"/>
      <c r="AE112" s="22"/>
    </row>
    <row r="113" spans="1:33" ht="14.25" customHeight="1" x14ac:dyDescent="0.2">
      <c r="A113" s="74"/>
      <c r="B113" s="2" t="s">
        <v>97</v>
      </c>
      <c r="C113" s="7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1">
        <f>COUNTIF(D113:P113:Q113:R113,"Я")</f>
        <v>0</v>
      </c>
      <c r="U113" s="78">
        <f>T112+T114</f>
        <v>0</v>
      </c>
      <c r="V113" s="35"/>
      <c r="W113" s="34"/>
      <c r="X113" s="21"/>
      <c r="Y113" s="36"/>
      <c r="Z113" s="21"/>
      <c r="AA113" s="34"/>
      <c r="AB113" s="34"/>
      <c r="AC113" s="34"/>
      <c r="AD113" s="30"/>
      <c r="AE113" s="33"/>
    </row>
    <row r="114" spans="1:33" ht="15.75" customHeight="1" x14ac:dyDescent="0.2">
      <c r="A114" s="74"/>
      <c r="B114" s="3" t="s">
        <v>29</v>
      </c>
      <c r="C114" s="7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34">
        <f>SUMPRODUCT(D114:S114)</f>
        <v>0</v>
      </c>
      <c r="U114" s="78"/>
      <c r="V114" s="35"/>
      <c r="W114" s="21"/>
      <c r="X114" s="21"/>
      <c r="Y114" s="34"/>
      <c r="Z114" s="21"/>
      <c r="AA114" s="21"/>
      <c r="AB114" s="34"/>
      <c r="AC114" s="21"/>
      <c r="AD114" s="21"/>
      <c r="AE114" s="22"/>
    </row>
    <row r="115" spans="1:33" ht="15" customHeight="1" x14ac:dyDescent="0.2">
      <c r="A115" s="37"/>
      <c r="B115" s="53"/>
      <c r="C115" s="37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8"/>
      <c r="U115" s="54"/>
      <c r="V115" s="40"/>
    </row>
    <row r="116" spans="1:33" ht="15" customHeight="1" x14ac:dyDescent="0.2">
      <c r="A116" s="37"/>
      <c r="B116" s="53"/>
      <c r="C116" s="37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8"/>
      <c r="U116" s="54"/>
      <c r="V116" s="40"/>
      <c r="AG116" s="4" t="s">
        <v>39</v>
      </c>
    </row>
    <row r="117" spans="1:33" ht="19.5" customHeight="1" x14ac:dyDescent="0.2">
      <c r="A117" s="37"/>
      <c r="B117" s="53"/>
      <c r="C117" s="37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8"/>
      <c r="U117" s="54"/>
      <c r="V117" s="40"/>
    </row>
    <row r="118" spans="1:33" ht="16.5" customHeight="1" x14ac:dyDescent="0.2">
      <c r="A118" s="23"/>
      <c r="B118" s="137" t="s">
        <v>99</v>
      </c>
      <c r="C118" s="23"/>
      <c r="D118" s="82" t="s">
        <v>5</v>
      </c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 t="s">
        <v>7</v>
      </c>
      <c r="U118" s="83"/>
      <c r="V118" s="83" t="s">
        <v>13</v>
      </c>
      <c r="W118" s="83"/>
      <c r="X118" s="83"/>
      <c r="Y118" s="83"/>
      <c r="Z118" s="83"/>
      <c r="AA118" s="83"/>
      <c r="AB118" s="83" t="s">
        <v>16</v>
      </c>
      <c r="AC118" s="83"/>
      <c r="AD118" s="83"/>
      <c r="AE118" s="83"/>
    </row>
    <row r="119" spans="1:33" ht="15" customHeight="1" x14ac:dyDescent="0.2">
      <c r="A119" s="24"/>
      <c r="B119" s="138"/>
      <c r="C119" s="24"/>
      <c r="D119" s="82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 t="s">
        <v>14</v>
      </c>
      <c r="W119" s="83"/>
      <c r="X119" s="83"/>
      <c r="Y119" s="83"/>
      <c r="Z119" s="83"/>
      <c r="AA119" s="83"/>
      <c r="AB119" s="83"/>
      <c r="AC119" s="83"/>
      <c r="AD119" s="83"/>
      <c r="AE119" s="83"/>
    </row>
    <row r="120" spans="1:33" ht="12" customHeight="1" x14ac:dyDescent="0.2">
      <c r="A120" s="25" t="s">
        <v>0</v>
      </c>
      <c r="B120" s="138"/>
      <c r="C120" s="25" t="s">
        <v>3</v>
      </c>
      <c r="D120" s="79">
        <v>1</v>
      </c>
      <c r="E120" s="79">
        <v>2</v>
      </c>
      <c r="F120" s="79">
        <v>3</v>
      </c>
      <c r="G120" s="79">
        <v>4</v>
      </c>
      <c r="H120" s="79">
        <v>5</v>
      </c>
      <c r="I120" s="79">
        <v>6</v>
      </c>
      <c r="J120" s="79">
        <v>7</v>
      </c>
      <c r="K120" s="79">
        <v>8</v>
      </c>
      <c r="L120" s="79">
        <v>9</v>
      </c>
      <c r="M120" s="79">
        <v>10</v>
      </c>
      <c r="N120" s="79">
        <v>11</v>
      </c>
      <c r="O120" s="79">
        <v>12</v>
      </c>
      <c r="P120" s="79">
        <v>13</v>
      </c>
      <c r="Q120" s="79">
        <v>14</v>
      </c>
      <c r="R120" s="79">
        <v>15</v>
      </c>
      <c r="S120" s="79"/>
      <c r="T120" s="12" t="s">
        <v>30</v>
      </c>
      <c r="U120" s="83" t="s">
        <v>6</v>
      </c>
      <c r="V120" s="90" t="s">
        <v>12</v>
      </c>
      <c r="W120" s="90"/>
      <c r="X120" s="90"/>
      <c r="Y120" s="90"/>
      <c r="Z120" s="90"/>
      <c r="AA120" s="90"/>
      <c r="AB120" s="83" t="s">
        <v>15</v>
      </c>
      <c r="AC120" s="57"/>
      <c r="AD120" s="83" t="s">
        <v>15</v>
      </c>
      <c r="AE120" s="57"/>
    </row>
    <row r="121" spans="1:33" ht="12" customHeight="1" x14ac:dyDescent="0.2">
      <c r="A121" s="87" t="s">
        <v>2</v>
      </c>
      <c r="B121" s="138"/>
      <c r="C121" s="24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3" t="s">
        <v>31</v>
      </c>
      <c r="U121" s="109"/>
      <c r="V121" s="48"/>
      <c r="W121" s="49"/>
      <c r="X121" s="49"/>
      <c r="Y121" s="49"/>
      <c r="Z121" s="49"/>
      <c r="AA121" s="50"/>
      <c r="AB121" s="82"/>
      <c r="AC121" s="11"/>
      <c r="AD121" s="83"/>
      <c r="AE121" s="11"/>
    </row>
    <row r="122" spans="1:33" ht="11.25" customHeight="1" x14ac:dyDescent="0.2">
      <c r="A122" s="87"/>
      <c r="B122" s="138"/>
      <c r="C122" s="24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3"/>
      <c r="U122" s="83"/>
      <c r="V122" s="87" t="s">
        <v>11</v>
      </c>
      <c r="W122" s="87"/>
      <c r="X122" s="87"/>
      <c r="Y122" s="87"/>
      <c r="Z122" s="87"/>
      <c r="AA122" s="87"/>
      <c r="AB122" s="83"/>
      <c r="AC122" s="11" t="s">
        <v>8</v>
      </c>
      <c r="AD122" s="83"/>
      <c r="AE122" s="11" t="s">
        <v>8</v>
      </c>
    </row>
    <row r="123" spans="1:33" ht="13.5" customHeight="1" x14ac:dyDescent="0.2">
      <c r="A123" s="25" t="s">
        <v>1</v>
      </c>
      <c r="B123" s="138"/>
      <c r="C123" s="25" t="s">
        <v>4</v>
      </c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51" t="s">
        <v>32</v>
      </c>
      <c r="U123" s="109"/>
      <c r="V123" s="48"/>
      <c r="W123" s="49"/>
      <c r="X123" s="49"/>
      <c r="Y123" s="49"/>
      <c r="Z123" s="49"/>
      <c r="AA123" s="50"/>
      <c r="AB123" s="82"/>
      <c r="AC123" s="11" t="s">
        <v>10</v>
      </c>
      <c r="AD123" s="83"/>
      <c r="AE123" s="11" t="s">
        <v>10</v>
      </c>
    </row>
    <row r="124" spans="1:33" ht="12.75" customHeight="1" x14ac:dyDescent="0.2">
      <c r="A124" s="24"/>
      <c r="B124" s="138"/>
      <c r="C124" s="24"/>
      <c r="D124" s="79">
        <v>16</v>
      </c>
      <c r="E124" s="79">
        <v>17</v>
      </c>
      <c r="F124" s="79">
        <v>18</v>
      </c>
      <c r="G124" s="79">
        <v>19</v>
      </c>
      <c r="H124" s="79">
        <v>20</v>
      </c>
      <c r="I124" s="79">
        <v>21</v>
      </c>
      <c r="J124" s="79">
        <v>22</v>
      </c>
      <c r="K124" s="79">
        <v>23</v>
      </c>
      <c r="L124" s="79">
        <v>24</v>
      </c>
      <c r="M124" s="79">
        <v>25</v>
      </c>
      <c r="N124" s="79">
        <v>26</v>
      </c>
      <c r="O124" s="79">
        <v>27</v>
      </c>
      <c r="P124" s="79">
        <v>28</v>
      </c>
      <c r="Q124" s="79">
        <v>29</v>
      </c>
      <c r="R124" s="79">
        <v>30</v>
      </c>
      <c r="S124" s="79">
        <v>31</v>
      </c>
      <c r="T124" s="83" t="s">
        <v>8</v>
      </c>
      <c r="U124" s="83"/>
      <c r="V124" s="133" t="s">
        <v>12</v>
      </c>
      <c r="W124" s="133" t="s">
        <v>101</v>
      </c>
      <c r="X124" s="133" t="s">
        <v>102</v>
      </c>
      <c r="Y124" s="133" t="s">
        <v>12</v>
      </c>
      <c r="Z124" s="133" t="s">
        <v>101</v>
      </c>
      <c r="AA124" s="133" t="s">
        <v>102</v>
      </c>
      <c r="AB124" s="83"/>
      <c r="AC124" s="11"/>
      <c r="AD124" s="83"/>
      <c r="AE124" s="11"/>
    </row>
    <row r="125" spans="1:33" ht="15.75" customHeight="1" x14ac:dyDescent="0.2">
      <c r="A125" s="43"/>
      <c r="B125" s="139"/>
      <c r="C125" s="43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1"/>
      <c r="Q125" s="81"/>
      <c r="R125" s="81"/>
      <c r="S125" s="81"/>
      <c r="T125" s="83" t="s">
        <v>9</v>
      </c>
      <c r="U125" s="83"/>
      <c r="V125" s="134"/>
      <c r="W125" s="134"/>
      <c r="X125" s="134"/>
      <c r="Y125" s="134"/>
      <c r="Z125" s="134"/>
      <c r="AA125" s="134"/>
      <c r="AB125" s="83"/>
      <c r="AC125" s="57"/>
      <c r="AD125" s="83"/>
      <c r="AE125" s="57"/>
    </row>
    <row r="126" spans="1:33" ht="15" customHeight="1" x14ac:dyDescent="0.2">
      <c r="A126" s="11">
        <v>1</v>
      </c>
      <c r="B126" s="12">
        <v>2</v>
      </c>
      <c r="C126" s="12">
        <v>3</v>
      </c>
      <c r="D126" s="132">
        <v>4</v>
      </c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2">
        <v>5</v>
      </c>
      <c r="U126" s="12">
        <v>6</v>
      </c>
      <c r="V126" s="12">
        <v>7</v>
      </c>
      <c r="W126" s="12">
        <v>8</v>
      </c>
      <c r="X126" s="12">
        <v>9</v>
      </c>
      <c r="Y126" s="12">
        <v>7</v>
      </c>
      <c r="Z126" s="12">
        <v>8</v>
      </c>
      <c r="AA126" s="12">
        <v>9</v>
      </c>
      <c r="AB126" s="12">
        <v>10</v>
      </c>
      <c r="AC126" s="12">
        <v>11</v>
      </c>
      <c r="AD126" s="12">
        <v>12</v>
      </c>
      <c r="AE126" s="12">
        <v>13</v>
      </c>
    </row>
    <row r="127" spans="1:33" ht="14.25" customHeight="1" x14ac:dyDescent="0.2">
      <c r="A127" s="86">
        <v>19</v>
      </c>
      <c r="B127" s="154" t="s">
        <v>82</v>
      </c>
      <c r="C127" s="129" t="s">
        <v>64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0">
        <f>COUNTIF(D127:R127,"Я")</f>
        <v>0</v>
      </c>
      <c r="U127" s="77">
        <f>T127+T129</f>
        <v>0</v>
      </c>
      <c r="V127" s="58"/>
      <c r="W127" s="30"/>
      <c r="X127" s="30"/>
      <c r="Y127" s="32"/>
      <c r="Z127" s="30"/>
      <c r="AA127" s="1"/>
      <c r="AB127" s="1"/>
      <c r="AC127" s="21"/>
      <c r="AD127" s="30" t="s">
        <v>40</v>
      </c>
      <c r="AE127" s="33">
        <f>COUNTIF(D127:R127,"В")</f>
        <v>0</v>
      </c>
    </row>
    <row r="128" spans="1:33" ht="15" customHeight="1" x14ac:dyDescent="0.2">
      <c r="A128" s="86"/>
      <c r="B128" s="155"/>
      <c r="C128" s="130"/>
      <c r="D128" s="12"/>
      <c r="E128" s="12"/>
      <c r="F128" s="12"/>
      <c r="G128" s="12"/>
      <c r="H128" s="12"/>
      <c r="I128" s="6"/>
      <c r="J128" s="6"/>
      <c r="K128" s="12"/>
      <c r="L128" s="12"/>
      <c r="M128" s="12"/>
      <c r="N128" s="12"/>
      <c r="O128" s="12"/>
      <c r="P128" s="6"/>
      <c r="Q128" s="6"/>
      <c r="R128" s="12"/>
      <c r="S128" s="6"/>
      <c r="T128" s="34">
        <f>SUMPRODUCT(D128:R128)</f>
        <v>0</v>
      </c>
      <c r="U128" s="78"/>
      <c r="V128" s="59"/>
      <c r="W128" s="21"/>
      <c r="X128" s="21"/>
      <c r="Y128" s="34"/>
      <c r="Z128" s="34"/>
      <c r="AA128" s="36"/>
      <c r="AB128" s="1"/>
      <c r="AC128" s="21"/>
      <c r="AD128" s="30"/>
      <c r="AE128" s="22"/>
    </row>
    <row r="129" spans="1:41" ht="15.75" customHeight="1" x14ac:dyDescent="0.2">
      <c r="A129" s="86"/>
      <c r="B129" s="2" t="s">
        <v>41</v>
      </c>
      <c r="C129" s="13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1">
        <f>COUNTIF(D129:P129:Q129:R129,"Я")</f>
        <v>0</v>
      </c>
      <c r="U129" s="78">
        <f>T128+T130</f>
        <v>0</v>
      </c>
      <c r="V129" s="59"/>
      <c r="W129" s="34"/>
      <c r="X129" s="21"/>
      <c r="Y129" s="36"/>
      <c r="Z129" s="21"/>
      <c r="AA129" s="34"/>
      <c r="AB129" s="34"/>
      <c r="AC129" s="34"/>
      <c r="AD129" s="30"/>
      <c r="AE129" s="22"/>
    </row>
    <row r="130" spans="1:41" ht="14.25" customHeight="1" x14ac:dyDescent="0.2">
      <c r="A130" s="86"/>
      <c r="B130" s="3"/>
      <c r="C130" s="13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34">
        <f>SUMPRODUCT(D130:S130)</f>
        <v>0</v>
      </c>
      <c r="U130" s="78"/>
      <c r="V130" s="59"/>
      <c r="W130" s="21"/>
      <c r="X130" s="21"/>
      <c r="Y130" s="34"/>
      <c r="Z130" s="21"/>
      <c r="AA130" s="21"/>
      <c r="AB130" s="34"/>
      <c r="AC130" s="21"/>
      <c r="AD130" s="21"/>
      <c r="AE130" s="22"/>
    </row>
    <row r="131" spans="1:41" ht="12.75" customHeight="1" x14ac:dyDescent="0.2">
      <c r="A131" s="142">
        <v>20</v>
      </c>
      <c r="B131" s="154" t="s">
        <v>83</v>
      </c>
      <c r="C131" s="129" t="s">
        <v>103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30">
        <f>COUNTIF(D131:R131,"Я")</f>
        <v>0</v>
      </c>
      <c r="U131" s="77">
        <f>T131+T133</f>
        <v>0</v>
      </c>
      <c r="V131" s="58"/>
      <c r="W131" s="30"/>
      <c r="X131" s="30"/>
      <c r="Y131" s="32"/>
      <c r="Z131" s="30"/>
      <c r="AA131" s="1"/>
      <c r="AB131" s="1"/>
      <c r="AC131" s="21"/>
      <c r="AD131" s="30" t="s">
        <v>40</v>
      </c>
      <c r="AE131" s="33">
        <f>COUNTIF(D131:R131,"В")</f>
        <v>0</v>
      </c>
    </row>
    <row r="132" spans="1:41" ht="12.75" customHeight="1" x14ac:dyDescent="0.2">
      <c r="A132" s="143"/>
      <c r="B132" s="155"/>
      <c r="C132" s="130"/>
      <c r="D132" s="12"/>
      <c r="E132" s="12"/>
      <c r="F132" s="12"/>
      <c r="G132" s="12"/>
      <c r="H132" s="12"/>
      <c r="I132" s="6"/>
      <c r="J132" s="6"/>
      <c r="K132" s="12"/>
      <c r="L132" s="12"/>
      <c r="M132" s="12"/>
      <c r="N132" s="12"/>
      <c r="O132" s="12"/>
      <c r="P132" s="6"/>
      <c r="Q132" s="6"/>
      <c r="R132" s="12"/>
      <c r="S132" s="6"/>
      <c r="T132" s="34">
        <f>SUMPRODUCT(D132:R132)</f>
        <v>0</v>
      </c>
      <c r="U132" s="78"/>
      <c r="V132" s="59"/>
      <c r="W132" s="21"/>
      <c r="X132" s="21"/>
      <c r="Y132" s="34"/>
      <c r="Z132" s="34"/>
      <c r="AA132" s="36"/>
      <c r="AB132" s="1"/>
      <c r="AC132" s="21"/>
      <c r="AD132" s="30"/>
      <c r="AE132" s="22"/>
    </row>
    <row r="133" spans="1:41" ht="12.75" customHeight="1" x14ac:dyDescent="0.2">
      <c r="A133" s="143"/>
      <c r="B133" s="2" t="s">
        <v>41</v>
      </c>
      <c r="C133" s="13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1">
        <f>COUNTIF(D133:P133:Q133:R133,"Я")</f>
        <v>0</v>
      </c>
      <c r="U133" s="78">
        <f>T132+T134</f>
        <v>0</v>
      </c>
      <c r="V133" s="59"/>
      <c r="W133" s="34"/>
      <c r="X133" s="21"/>
      <c r="Y133" s="36"/>
      <c r="Z133" s="21"/>
      <c r="AA133" s="34"/>
      <c r="AB133" s="34"/>
      <c r="AC133" s="34"/>
      <c r="AD133" s="30"/>
      <c r="AE133" s="22"/>
    </row>
    <row r="134" spans="1:41" ht="12.75" customHeight="1" x14ac:dyDescent="0.2">
      <c r="A134" s="144"/>
      <c r="B134" s="3"/>
      <c r="C134" s="13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34">
        <f>SUMPRODUCT(D134:S134)</f>
        <v>0</v>
      </c>
      <c r="U134" s="78"/>
      <c r="V134" s="59"/>
      <c r="W134" s="21"/>
      <c r="X134" s="21"/>
      <c r="Y134" s="34"/>
      <c r="Z134" s="21"/>
      <c r="AA134" s="21"/>
      <c r="AB134" s="34"/>
      <c r="AC134" s="21"/>
      <c r="AD134" s="21"/>
      <c r="AE134" s="22"/>
    </row>
    <row r="135" spans="1:41" ht="13.5" customHeight="1" x14ac:dyDescent="0.2">
      <c r="A135" s="73">
        <v>21</v>
      </c>
      <c r="B135" s="154" t="s">
        <v>84</v>
      </c>
      <c r="C135" s="75" t="s">
        <v>62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0">
        <f>COUNTIF(D135:R135,"Я")</f>
        <v>0</v>
      </c>
      <c r="U135" s="77">
        <f>T135+T137</f>
        <v>0</v>
      </c>
      <c r="V135" s="58"/>
      <c r="W135" s="30"/>
      <c r="X135" s="30"/>
      <c r="Y135" s="32"/>
      <c r="Z135" s="30"/>
      <c r="AA135" s="1"/>
      <c r="AB135" s="1"/>
      <c r="AC135" s="21"/>
      <c r="AD135" s="30" t="s">
        <v>40</v>
      </c>
      <c r="AE135" s="33">
        <f>COUNTIF(D135:R135,"В")</f>
        <v>0</v>
      </c>
    </row>
    <row r="136" spans="1:41" ht="13.5" customHeight="1" x14ac:dyDescent="0.2">
      <c r="A136" s="74"/>
      <c r="B136" s="155"/>
      <c r="C136" s="76"/>
      <c r="D136" s="12"/>
      <c r="E136" s="12"/>
      <c r="F136" s="12"/>
      <c r="G136" s="12"/>
      <c r="H136" s="12"/>
      <c r="I136" s="6"/>
      <c r="J136" s="6"/>
      <c r="K136" s="12"/>
      <c r="L136" s="12"/>
      <c r="M136" s="12"/>
      <c r="N136" s="12"/>
      <c r="O136" s="12"/>
      <c r="P136" s="6"/>
      <c r="Q136" s="6"/>
      <c r="R136" s="12"/>
      <c r="S136" s="6"/>
      <c r="T136" s="34">
        <f>SUMPRODUCT(D136:R136)</f>
        <v>0</v>
      </c>
      <c r="U136" s="78"/>
      <c r="V136" s="59"/>
      <c r="W136" s="21"/>
      <c r="X136" s="21"/>
      <c r="Y136" s="34"/>
      <c r="Z136" s="34"/>
      <c r="AA136" s="36"/>
      <c r="AB136" s="1"/>
      <c r="AC136" s="21"/>
      <c r="AD136" s="30"/>
      <c r="AE136" s="22"/>
    </row>
    <row r="137" spans="1:41" ht="13.5" customHeight="1" x14ac:dyDescent="0.2">
      <c r="A137" s="74"/>
      <c r="B137" s="2" t="s">
        <v>96</v>
      </c>
      <c r="C137" s="7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1">
        <f>COUNTIF(D137:P137:Q137:R137,"Я")</f>
        <v>0</v>
      </c>
      <c r="U137" s="78">
        <f>T136+T138</f>
        <v>0</v>
      </c>
      <c r="V137" s="59"/>
      <c r="W137" s="34"/>
      <c r="X137" s="21"/>
      <c r="Y137" s="36"/>
      <c r="Z137" s="21"/>
      <c r="AA137" s="34"/>
      <c r="AB137" s="34"/>
      <c r="AC137" s="34"/>
      <c r="AD137" s="30"/>
      <c r="AE137" s="22"/>
    </row>
    <row r="138" spans="1:41" ht="13.5" customHeight="1" x14ac:dyDescent="0.2">
      <c r="A138" s="74"/>
      <c r="B138" s="2"/>
      <c r="C138" s="7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34">
        <f>SUMPRODUCT(D138:S138)</f>
        <v>0</v>
      </c>
      <c r="U138" s="78"/>
      <c r="V138" s="59"/>
      <c r="W138" s="21"/>
      <c r="X138" s="21"/>
      <c r="Y138" s="34"/>
      <c r="Z138" s="21"/>
      <c r="AA138" s="21"/>
      <c r="AB138" s="34"/>
      <c r="AC138" s="21"/>
      <c r="AD138" s="21"/>
      <c r="AE138" s="22"/>
    </row>
    <row r="139" spans="1:41" ht="13.5" customHeight="1" x14ac:dyDescent="0.2">
      <c r="A139" s="74">
        <v>22</v>
      </c>
      <c r="B139" s="154" t="s">
        <v>85</v>
      </c>
      <c r="C139" s="76" t="s">
        <v>63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0">
        <f>COUNTIF(D139:R139,"Я")</f>
        <v>0</v>
      </c>
      <c r="U139" s="77">
        <f>T139+T141</f>
        <v>0</v>
      </c>
      <c r="V139" s="58"/>
      <c r="W139" s="30"/>
      <c r="X139" s="30"/>
      <c r="Y139" s="32"/>
      <c r="Z139" s="30"/>
      <c r="AA139" s="1"/>
      <c r="AB139" s="1"/>
      <c r="AC139" s="21"/>
      <c r="AD139" s="30" t="s">
        <v>40</v>
      </c>
      <c r="AE139" s="33">
        <f>COUNTIF(D139:R139,"В")</f>
        <v>0</v>
      </c>
    </row>
    <row r="140" spans="1:41" ht="12.75" customHeight="1" x14ac:dyDescent="0.2">
      <c r="A140" s="74"/>
      <c r="B140" s="155"/>
      <c r="C140" s="76"/>
      <c r="D140" s="12"/>
      <c r="E140" s="12"/>
      <c r="F140" s="12"/>
      <c r="G140" s="12"/>
      <c r="H140" s="12"/>
      <c r="I140" s="6"/>
      <c r="J140" s="6"/>
      <c r="K140" s="12"/>
      <c r="L140" s="12"/>
      <c r="M140" s="12"/>
      <c r="N140" s="12"/>
      <c r="O140" s="12"/>
      <c r="P140" s="6"/>
      <c r="Q140" s="6"/>
      <c r="R140" s="12"/>
      <c r="S140" s="6"/>
      <c r="T140" s="34">
        <f>SUMPRODUCT(D140:R140)</f>
        <v>0</v>
      </c>
      <c r="U140" s="78"/>
      <c r="V140" s="59"/>
      <c r="W140" s="21"/>
      <c r="X140" s="21"/>
      <c r="Y140" s="34"/>
      <c r="Z140" s="34"/>
      <c r="AA140" s="36"/>
      <c r="AB140" s="1"/>
      <c r="AC140" s="21"/>
      <c r="AD140" s="30"/>
      <c r="AE140" s="22"/>
    </row>
    <row r="141" spans="1:41" ht="13.5" customHeight="1" x14ac:dyDescent="0.2">
      <c r="A141" s="74"/>
      <c r="B141" s="2" t="s">
        <v>96</v>
      </c>
      <c r="C141" s="7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1">
        <f>COUNTIF(D141:P141:Q141:R141,"Я")</f>
        <v>0</v>
      </c>
      <c r="U141" s="78">
        <f>T140+T142</f>
        <v>0</v>
      </c>
      <c r="V141" s="59"/>
      <c r="W141" s="34"/>
      <c r="X141" s="21"/>
      <c r="Y141" s="36"/>
      <c r="Z141" s="21"/>
      <c r="AA141" s="34"/>
      <c r="AB141" s="34"/>
      <c r="AC141" s="34"/>
      <c r="AD141" s="30"/>
      <c r="AE141" s="22"/>
    </row>
    <row r="142" spans="1:41" ht="17.25" customHeight="1" x14ac:dyDescent="0.2">
      <c r="A142" s="74"/>
      <c r="B142" s="3"/>
      <c r="C142" s="7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34">
        <f>SUMPRODUCT(D142:S142)</f>
        <v>0</v>
      </c>
      <c r="U142" s="78"/>
      <c r="V142" s="59"/>
      <c r="W142" s="21"/>
      <c r="X142" s="21"/>
      <c r="Y142" s="34"/>
      <c r="Z142" s="21"/>
      <c r="AA142" s="21"/>
      <c r="AB142" s="34"/>
      <c r="AC142" s="21"/>
      <c r="AD142" s="21"/>
      <c r="AE142" s="22"/>
    </row>
    <row r="143" spans="1:41" ht="12.75" customHeight="1" x14ac:dyDescent="0.2"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</row>
    <row r="144" spans="1:41" ht="12.75" customHeight="1" x14ac:dyDescent="0.2"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</row>
    <row r="145" spans="1:44" ht="12.75" customHeight="1" x14ac:dyDescent="0.2"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</row>
    <row r="146" spans="1:44" ht="12.75" customHeight="1" x14ac:dyDescent="0.2">
      <c r="S146" s="47"/>
      <c r="T146" s="128" t="s">
        <v>104</v>
      </c>
      <c r="U146" s="128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7"/>
      <c r="AQ146" s="47"/>
      <c r="AR146" s="47"/>
    </row>
    <row r="147" spans="1:44" ht="13.5" customHeight="1" x14ac:dyDescent="0.2">
      <c r="S147" s="47"/>
      <c r="T147" s="128"/>
      <c r="U147" s="128"/>
      <c r="V147" s="47"/>
      <c r="W147" s="47"/>
      <c r="X147" s="47"/>
      <c r="Y147" s="47"/>
      <c r="Z147" s="47"/>
      <c r="AA147" s="47"/>
      <c r="AB147" s="47"/>
      <c r="AC147" s="47"/>
      <c r="AD147" s="47"/>
      <c r="AE147" s="61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</row>
    <row r="148" spans="1:44" ht="13.5" customHeight="1" x14ac:dyDescent="0.2">
      <c r="A148" s="37"/>
      <c r="B148" s="38"/>
      <c r="C148" s="3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62"/>
      <c r="T148" s="128"/>
      <c r="U148" s="128"/>
      <c r="V148" s="47"/>
      <c r="W148" s="47"/>
      <c r="X148" s="61"/>
      <c r="Y148" s="47"/>
      <c r="Z148" s="47"/>
      <c r="AA148" s="47"/>
      <c r="AB148" s="61"/>
      <c r="AC148" s="61"/>
      <c r="AD148" s="61"/>
      <c r="AE148" s="61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</row>
    <row r="149" spans="1:44" ht="13.5" customHeight="1" x14ac:dyDescent="0.2">
      <c r="P149" s="150" t="s">
        <v>89</v>
      </c>
      <c r="Q149" s="150"/>
      <c r="R149" s="150"/>
      <c r="S149" s="150"/>
      <c r="T149" s="128"/>
      <c r="U149" s="128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</row>
    <row r="150" spans="1:44" ht="24" customHeight="1" x14ac:dyDescent="0.2">
      <c r="A150" s="69" t="s">
        <v>91</v>
      </c>
      <c r="B150" s="69"/>
      <c r="C150" s="149" t="s">
        <v>95</v>
      </c>
      <c r="D150" s="149"/>
      <c r="E150" s="65"/>
      <c r="F150" s="55"/>
      <c r="G150" s="55"/>
      <c r="H150" s="55"/>
      <c r="J150" s="145" t="s">
        <v>98</v>
      </c>
      <c r="K150" s="146"/>
      <c r="L150" s="146"/>
      <c r="M150" s="146"/>
      <c r="N150" s="65"/>
      <c r="O150" s="65"/>
      <c r="P150" s="150"/>
      <c r="Q150" s="150"/>
      <c r="R150" s="150"/>
      <c r="S150" s="150"/>
      <c r="T150" s="128"/>
      <c r="U150" s="128"/>
      <c r="V150" s="47"/>
      <c r="W150" s="55"/>
      <c r="X150" s="55"/>
      <c r="Y150" s="55"/>
      <c r="Z150" s="47"/>
      <c r="AA150" s="145" t="s">
        <v>105</v>
      </c>
      <c r="AB150" s="146"/>
      <c r="AC150" s="146"/>
      <c r="AD150" s="146"/>
      <c r="AE150" s="47"/>
      <c r="AF150" s="65"/>
      <c r="AG150" s="65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</row>
    <row r="151" spans="1:44" ht="12.75" customHeight="1" x14ac:dyDescent="0.25">
      <c r="C151" s="147" t="s">
        <v>93</v>
      </c>
      <c r="D151" s="147"/>
      <c r="E151" s="67"/>
      <c r="F151" s="151" t="s">
        <v>94</v>
      </c>
      <c r="G151" s="151"/>
      <c r="H151" s="151"/>
      <c r="I151" s="66"/>
      <c r="J151" s="152" t="s">
        <v>90</v>
      </c>
      <c r="K151" s="152"/>
      <c r="L151" s="152"/>
      <c r="M151" s="152"/>
      <c r="N151" s="67"/>
      <c r="O151" s="67"/>
      <c r="P151" s="67"/>
      <c r="Q151" s="67"/>
      <c r="R151" s="56"/>
      <c r="T151" s="153" t="s">
        <v>92</v>
      </c>
      <c r="U151" s="153"/>
      <c r="V151" s="47"/>
      <c r="W151" s="151" t="s">
        <v>94</v>
      </c>
      <c r="X151" s="151"/>
      <c r="Y151" s="151"/>
      <c r="Z151" s="47"/>
      <c r="AA151" s="152" t="s">
        <v>90</v>
      </c>
      <c r="AB151" s="152"/>
      <c r="AC151" s="152"/>
      <c r="AD151" s="152"/>
      <c r="AE151" s="47"/>
      <c r="AF151" s="67"/>
      <c r="AG151" s="67"/>
    </row>
    <row r="152" spans="1:44" ht="11.25" customHeight="1" x14ac:dyDescent="0.2">
      <c r="F152" s="64"/>
      <c r="G152" s="64"/>
      <c r="H152" s="64"/>
      <c r="I152" s="66"/>
      <c r="J152" s="66"/>
      <c r="K152" s="66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152"/>
      <c r="X152" s="152"/>
      <c r="Y152" s="152"/>
      <c r="Z152" s="47"/>
      <c r="AA152" s="47"/>
      <c r="AB152" s="47"/>
      <c r="AC152" s="47"/>
      <c r="AD152" s="47"/>
      <c r="AE152" s="47"/>
    </row>
    <row r="153" spans="1:44" ht="12.75" customHeight="1" x14ac:dyDescent="0.2">
      <c r="M153" s="47"/>
      <c r="N153" s="47"/>
      <c r="O153" s="47"/>
      <c r="P153" s="47"/>
      <c r="Q153" s="47"/>
      <c r="R153" s="47"/>
      <c r="S153" s="63"/>
      <c r="T153" s="63"/>
      <c r="U153" s="63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</row>
    <row r="154" spans="1:44" ht="12.75" customHeight="1" x14ac:dyDescent="0.2"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</row>
    <row r="155" spans="1:44" ht="12.75" customHeight="1" x14ac:dyDescent="0.2">
      <c r="P155" s="150" t="s">
        <v>28</v>
      </c>
      <c r="Q155" s="150"/>
      <c r="R155" s="150"/>
      <c r="S155" s="150"/>
      <c r="T155" s="60"/>
      <c r="U155" s="60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</row>
    <row r="156" spans="1:44" ht="12.75" customHeight="1" x14ac:dyDescent="0.2">
      <c r="P156" s="150"/>
      <c r="Q156" s="150"/>
      <c r="R156" s="150"/>
      <c r="S156" s="150"/>
      <c r="V156" s="47"/>
      <c r="W156" s="55"/>
      <c r="X156" s="55"/>
      <c r="Y156" s="55"/>
      <c r="Z156" s="47"/>
      <c r="AA156" s="145" t="s">
        <v>100</v>
      </c>
      <c r="AB156" s="146"/>
      <c r="AC156" s="146"/>
      <c r="AD156" s="146"/>
      <c r="AE156" s="47"/>
    </row>
    <row r="157" spans="1:44" ht="13.5" x14ac:dyDescent="0.25">
      <c r="T157" s="153" t="s">
        <v>92</v>
      </c>
      <c r="U157" s="153"/>
      <c r="V157" s="47"/>
      <c r="W157" s="151" t="s">
        <v>94</v>
      </c>
      <c r="X157" s="151"/>
      <c r="Y157" s="151"/>
      <c r="Z157" s="47"/>
      <c r="AA157" s="152" t="s">
        <v>90</v>
      </c>
      <c r="AB157" s="152"/>
      <c r="AC157" s="152"/>
      <c r="AD157" s="152"/>
      <c r="AE157" s="47"/>
    </row>
    <row r="158" spans="1:44" ht="16.5" customHeight="1" x14ac:dyDescent="0.2">
      <c r="V158" s="47"/>
      <c r="W158" s="152"/>
      <c r="X158" s="152"/>
      <c r="Y158" s="152"/>
      <c r="Z158" s="47"/>
      <c r="AA158" s="47"/>
      <c r="AB158" s="47"/>
      <c r="AC158" s="47"/>
      <c r="AD158" s="47"/>
      <c r="AE158" s="47"/>
    </row>
    <row r="159" spans="1:44" ht="16.5" hidden="1" customHeight="1" x14ac:dyDescent="0.2">
      <c r="W159" s="127"/>
      <c r="X159" s="127"/>
      <c r="Y159" s="56"/>
      <c r="Z159" s="127"/>
      <c r="AA159" s="127"/>
    </row>
    <row r="160" spans="1:44" ht="16.5" hidden="1" customHeight="1" x14ac:dyDescent="0.2"/>
    <row r="161" ht="19.5" hidden="1" customHeight="1" x14ac:dyDescent="0.2"/>
    <row r="162" ht="16.5" hidden="1" customHeight="1" x14ac:dyDescent="0.2"/>
    <row r="163" ht="70.5" customHeight="1" x14ac:dyDescent="0.2"/>
    <row r="164" ht="16.5" customHeight="1" x14ac:dyDescent="0.2"/>
    <row r="165" ht="0.75" customHeight="1" x14ac:dyDescent="0.2"/>
    <row r="166" ht="0.75" customHeight="1" x14ac:dyDescent="0.2"/>
    <row r="167" ht="0.75" customHeight="1" x14ac:dyDescent="0.2"/>
    <row r="168" ht="0.75" customHeight="1" x14ac:dyDescent="0.2"/>
    <row r="169" ht="0.75" customHeight="1" x14ac:dyDescent="0.2"/>
    <row r="170" ht="90" customHeight="1" x14ac:dyDescent="0.2"/>
    <row r="171" ht="0.75" customHeight="1" x14ac:dyDescent="0.2"/>
    <row r="172" ht="0.75" customHeight="1" x14ac:dyDescent="0.2"/>
    <row r="173" ht="0.75" customHeight="1" x14ac:dyDescent="0.2"/>
    <row r="174" ht="0.75" customHeight="1" x14ac:dyDescent="0.2"/>
    <row r="175" ht="0.75" customHeight="1" x14ac:dyDescent="0.2"/>
    <row r="176" ht="0.75" customHeight="1" x14ac:dyDescent="0.2"/>
    <row r="177" ht="0.75" customHeight="1" x14ac:dyDescent="0.2"/>
    <row r="178" ht="0.75" customHeight="1" x14ac:dyDescent="0.2"/>
    <row r="179" ht="0.75" customHeight="1" x14ac:dyDescent="0.2"/>
    <row r="180" ht="13.5" customHeight="1" x14ac:dyDescent="0.2"/>
    <row r="181" ht="13.5" customHeight="1" x14ac:dyDescent="0.2"/>
    <row r="182" ht="16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</sheetData>
  <mergeCells count="326">
    <mergeCell ref="F151:H151"/>
    <mergeCell ref="P155:S156"/>
    <mergeCell ref="T157:U157"/>
    <mergeCell ref="J151:M151"/>
    <mergeCell ref="V124:V125"/>
    <mergeCell ref="AA157:AD157"/>
    <mergeCell ref="W151:Y152"/>
    <mergeCell ref="AA150:AD150"/>
    <mergeCell ref="AA151:AD151"/>
    <mergeCell ref="K124:K125"/>
    <mergeCell ref="W124:W125"/>
    <mergeCell ref="X124:X125"/>
    <mergeCell ref="AB120:AB125"/>
    <mergeCell ref="C151:D151"/>
    <mergeCell ref="J124:J125"/>
    <mergeCell ref="AB76:AB81"/>
    <mergeCell ref="U141:U142"/>
    <mergeCell ref="U93:U94"/>
    <mergeCell ref="V118:AA118"/>
    <mergeCell ref="C83:C86"/>
    <mergeCell ref="D82:S82"/>
    <mergeCell ref="H80:H81"/>
    <mergeCell ref="S120:S123"/>
    <mergeCell ref="E124:E125"/>
    <mergeCell ref="D124:D125"/>
    <mergeCell ref="D120:D123"/>
    <mergeCell ref="O124:O125"/>
    <mergeCell ref="E120:E123"/>
    <mergeCell ref="C150:D150"/>
    <mergeCell ref="M120:M123"/>
    <mergeCell ref="O120:O123"/>
    <mergeCell ref="L120:L123"/>
    <mergeCell ref="N120:N123"/>
    <mergeCell ref="J150:M150"/>
    <mergeCell ref="P149:S150"/>
    <mergeCell ref="N124:N125"/>
    <mergeCell ref="M124:M125"/>
    <mergeCell ref="AB118:AE119"/>
    <mergeCell ref="AD120:AD125"/>
    <mergeCell ref="B42:B43"/>
    <mergeCell ref="B46:B47"/>
    <mergeCell ref="B50:B51"/>
    <mergeCell ref="T77:T78"/>
    <mergeCell ref="U56:U57"/>
    <mergeCell ref="P124:P125"/>
    <mergeCell ref="B99:B100"/>
    <mergeCell ref="R124:R125"/>
    <mergeCell ref="R120:R123"/>
    <mergeCell ref="C46:C49"/>
    <mergeCell ref="V80:V81"/>
    <mergeCell ref="Q124:Q125"/>
    <mergeCell ref="S124:S125"/>
    <mergeCell ref="W80:W81"/>
    <mergeCell ref="Z80:Z81"/>
    <mergeCell ref="X80:X81"/>
    <mergeCell ref="B107:B108"/>
    <mergeCell ref="C107:C110"/>
    <mergeCell ref="U107:U108"/>
    <mergeCell ref="U109:U110"/>
    <mergeCell ref="A139:A142"/>
    <mergeCell ref="B139:B140"/>
    <mergeCell ref="C139:C142"/>
    <mergeCell ref="A95:A98"/>
    <mergeCell ref="A131:A134"/>
    <mergeCell ref="B131:B132"/>
    <mergeCell ref="C131:C134"/>
    <mergeCell ref="C103:C106"/>
    <mergeCell ref="A111:A114"/>
    <mergeCell ref="C99:C102"/>
    <mergeCell ref="A127:A130"/>
    <mergeCell ref="A121:A122"/>
    <mergeCell ref="B95:B96"/>
    <mergeCell ref="C95:C98"/>
    <mergeCell ref="A103:A106"/>
    <mergeCell ref="B103:B104"/>
    <mergeCell ref="C111:C114"/>
    <mergeCell ref="B118:B125"/>
    <mergeCell ref="B111:B112"/>
    <mergeCell ref="A99:A102"/>
    <mergeCell ref="A107:A110"/>
    <mergeCell ref="A91:A94"/>
    <mergeCell ref="A42:A45"/>
    <mergeCell ref="C91:C94"/>
    <mergeCell ref="A62:A65"/>
    <mergeCell ref="A66:A69"/>
    <mergeCell ref="B62:B63"/>
    <mergeCell ref="C62:C65"/>
    <mergeCell ref="C42:C45"/>
    <mergeCell ref="A50:A53"/>
    <mergeCell ref="C58:C61"/>
    <mergeCell ref="C87:C90"/>
    <mergeCell ref="C66:C69"/>
    <mergeCell ref="C50:C53"/>
    <mergeCell ref="B66:B67"/>
    <mergeCell ref="A83:A86"/>
    <mergeCell ref="B74:B81"/>
    <mergeCell ref="B83:B84"/>
    <mergeCell ref="A77:A78"/>
    <mergeCell ref="B87:B88"/>
    <mergeCell ref="B91:B92"/>
    <mergeCell ref="A54:A57"/>
    <mergeCell ref="B54:B55"/>
    <mergeCell ref="A87:A90"/>
    <mergeCell ref="C38:C41"/>
    <mergeCell ref="A34:A37"/>
    <mergeCell ref="A46:A49"/>
    <mergeCell ref="A38:A41"/>
    <mergeCell ref="B34:B35"/>
    <mergeCell ref="A58:A61"/>
    <mergeCell ref="B58:B59"/>
    <mergeCell ref="C26:C29"/>
    <mergeCell ref="U34:U35"/>
    <mergeCell ref="U26:U27"/>
    <mergeCell ref="B26:B27"/>
    <mergeCell ref="D24:S24"/>
    <mergeCell ref="M22:M23"/>
    <mergeCell ref="B16:B23"/>
    <mergeCell ref="U18:U21"/>
    <mergeCell ref="A30:A33"/>
    <mergeCell ref="C30:C33"/>
    <mergeCell ref="C54:C57"/>
    <mergeCell ref="F76:F79"/>
    <mergeCell ref="J76:J79"/>
    <mergeCell ref="B127:B128"/>
    <mergeCell ref="C127:C130"/>
    <mergeCell ref="D126:S126"/>
    <mergeCell ref="F124:F125"/>
    <mergeCell ref="L124:L125"/>
    <mergeCell ref="K120:K123"/>
    <mergeCell ref="G124:G125"/>
    <mergeCell ref="I76:I79"/>
    <mergeCell ref="J80:J81"/>
    <mergeCell ref="G76:G79"/>
    <mergeCell ref="W159:X159"/>
    <mergeCell ref="Z159:AA159"/>
    <mergeCell ref="V120:AA120"/>
    <mergeCell ref="U133:U134"/>
    <mergeCell ref="T124:U124"/>
    <mergeCell ref="V122:AA122"/>
    <mergeCell ref="T121:T122"/>
    <mergeCell ref="U129:U130"/>
    <mergeCell ref="U131:U132"/>
    <mergeCell ref="T146:U150"/>
    <mergeCell ref="AA124:AA125"/>
    <mergeCell ref="Z124:Z125"/>
    <mergeCell ref="Y124:Y125"/>
    <mergeCell ref="AA156:AD156"/>
    <mergeCell ref="W157:Y158"/>
    <mergeCell ref="T151:U151"/>
    <mergeCell ref="U139:U140"/>
    <mergeCell ref="U113:U114"/>
    <mergeCell ref="U101:U102"/>
    <mergeCell ref="U103:U104"/>
    <mergeCell ref="U99:U100"/>
    <mergeCell ref="V78:AA78"/>
    <mergeCell ref="U89:U90"/>
    <mergeCell ref="T80:U80"/>
    <mergeCell ref="U97:U98"/>
    <mergeCell ref="U127:U128"/>
    <mergeCell ref="T125:U125"/>
    <mergeCell ref="T118:U119"/>
    <mergeCell ref="U120:U123"/>
    <mergeCell ref="U111:U112"/>
    <mergeCell ref="U95:U96"/>
    <mergeCell ref="U105:U106"/>
    <mergeCell ref="U76:U79"/>
    <mergeCell ref="AA80:AA81"/>
    <mergeCell ref="Y80:Y81"/>
    <mergeCell ref="V119:AA119"/>
    <mergeCell ref="U40:U41"/>
    <mergeCell ref="U48:U49"/>
    <mergeCell ref="U54:U55"/>
    <mergeCell ref="U42:U43"/>
    <mergeCell ref="U52:U53"/>
    <mergeCell ref="AB74:AE75"/>
    <mergeCell ref="U58:U59"/>
    <mergeCell ref="U60:U61"/>
    <mergeCell ref="U91:U92"/>
    <mergeCell ref="V76:AA76"/>
    <mergeCell ref="V75:AA75"/>
    <mergeCell ref="T74:U75"/>
    <mergeCell ref="U46:U47"/>
    <mergeCell ref="U50:U51"/>
    <mergeCell ref="U68:U69"/>
    <mergeCell ref="V74:AA74"/>
    <mergeCell ref="U62:U63"/>
    <mergeCell ref="U66:U67"/>
    <mergeCell ref="AD76:AD81"/>
    <mergeCell ref="U64:U65"/>
    <mergeCell ref="O18:O21"/>
    <mergeCell ref="M18:M21"/>
    <mergeCell ref="AD18:AD23"/>
    <mergeCell ref="T19:T20"/>
    <mergeCell ref="N18:N21"/>
    <mergeCell ref="T23:U23"/>
    <mergeCell ref="V18:AA18"/>
    <mergeCell ref="J18:J21"/>
    <mergeCell ref="U38:U39"/>
    <mergeCell ref="U32:U33"/>
    <mergeCell ref="U28:U29"/>
    <mergeCell ref="U36:U37"/>
    <mergeCell ref="U30:U31"/>
    <mergeCell ref="T22:U22"/>
    <mergeCell ref="A25:AE25"/>
    <mergeCell ref="V20:AA20"/>
    <mergeCell ref="O22:O23"/>
    <mergeCell ref="H22:H23"/>
    <mergeCell ref="P22:P23"/>
    <mergeCell ref="L22:L23"/>
    <mergeCell ref="N22:N23"/>
    <mergeCell ref="S22:S23"/>
    <mergeCell ref="W22:W23"/>
    <mergeCell ref="P18:P21"/>
    <mergeCell ref="AH2:AK2"/>
    <mergeCell ref="H14:V15"/>
    <mergeCell ref="T3:V3"/>
    <mergeCell ref="AG3:AK3"/>
    <mergeCell ref="T2:V2"/>
    <mergeCell ref="AB11:AE11"/>
    <mergeCell ref="AD12:AE12"/>
    <mergeCell ref="Y13:Z13"/>
    <mergeCell ref="Y11:Z12"/>
    <mergeCell ref="AB12:AC12"/>
    <mergeCell ref="AD7:AE7"/>
    <mergeCell ref="A7:AA7"/>
    <mergeCell ref="AB13:AC13"/>
    <mergeCell ref="A9:AA9"/>
    <mergeCell ref="N8:S8"/>
    <mergeCell ref="K12:U13"/>
    <mergeCell ref="N10:S10"/>
    <mergeCell ref="AB7:AC7"/>
    <mergeCell ref="W13:X13"/>
    <mergeCell ref="W11:X12"/>
    <mergeCell ref="AI4:AK4"/>
    <mergeCell ref="AD5:AE5"/>
    <mergeCell ref="T4:V4"/>
    <mergeCell ref="AB18:AB23"/>
    <mergeCell ref="R18:R21"/>
    <mergeCell ref="R22:R23"/>
    <mergeCell ref="AB6:AC6"/>
    <mergeCell ref="AD6:AE6"/>
    <mergeCell ref="AD8:AE9"/>
    <mergeCell ref="AD13:AE13"/>
    <mergeCell ref="V16:AA16"/>
    <mergeCell ref="D16:S17"/>
    <mergeCell ref="AB16:AE17"/>
    <mergeCell ref="V17:AA17"/>
    <mergeCell ref="T16:U17"/>
    <mergeCell ref="S18:S21"/>
    <mergeCell ref="K18:K21"/>
    <mergeCell ref="D18:D21"/>
    <mergeCell ref="V22:V23"/>
    <mergeCell ref="X22:X23"/>
    <mergeCell ref="Y22:Y23"/>
    <mergeCell ref="Z22:Z23"/>
    <mergeCell ref="AA22:AA23"/>
    <mergeCell ref="L18:L21"/>
    <mergeCell ref="G18:G21"/>
    <mergeCell ref="G22:G23"/>
    <mergeCell ref="K22:K23"/>
    <mergeCell ref="D74:S75"/>
    <mergeCell ref="E76:E79"/>
    <mergeCell ref="O80:O81"/>
    <mergeCell ref="H76:H79"/>
    <mergeCell ref="A26:A29"/>
    <mergeCell ref="E22:E23"/>
    <mergeCell ref="D22:D23"/>
    <mergeCell ref="A19:A20"/>
    <mergeCell ref="F18:F21"/>
    <mergeCell ref="F22:F23"/>
    <mergeCell ref="C34:C37"/>
    <mergeCell ref="B30:B31"/>
    <mergeCell ref="Q18:Q21"/>
    <mergeCell ref="Q22:Q23"/>
    <mergeCell ref="B38:B39"/>
    <mergeCell ref="I18:I21"/>
    <mergeCell ref="I22:I23"/>
    <mergeCell ref="E18:E21"/>
    <mergeCell ref="J22:J23"/>
    <mergeCell ref="H18:H21"/>
    <mergeCell ref="D80:D81"/>
    <mergeCell ref="Q76:Q79"/>
    <mergeCell ref="O76:O79"/>
    <mergeCell ref="P76:P79"/>
    <mergeCell ref="N76:N79"/>
    <mergeCell ref="D76:D79"/>
    <mergeCell ref="I80:I81"/>
    <mergeCell ref="M76:M79"/>
    <mergeCell ref="L76:L79"/>
    <mergeCell ref="K80:K81"/>
    <mergeCell ref="G80:G81"/>
    <mergeCell ref="S80:S81"/>
    <mergeCell ref="F80:F81"/>
    <mergeCell ref="N80:N81"/>
    <mergeCell ref="U87:U88"/>
    <mergeCell ref="T81:U81"/>
    <mergeCell ref="U85:U86"/>
    <mergeCell ref="P80:P81"/>
    <mergeCell ref="R80:R81"/>
    <mergeCell ref="U83:U84"/>
    <mergeCell ref="L80:L81"/>
    <mergeCell ref="M80:M81"/>
    <mergeCell ref="A150:B150"/>
    <mergeCell ref="Z1:AE1"/>
    <mergeCell ref="Z2:AE4"/>
    <mergeCell ref="A135:A138"/>
    <mergeCell ref="B135:B136"/>
    <mergeCell ref="C135:C138"/>
    <mergeCell ref="U135:U136"/>
    <mergeCell ref="U137:U138"/>
    <mergeCell ref="U44:U45"/>
    <mergeCell ref="H120:H123"/>
    <mergeCell ref="H124:H125"/>
    <mergeCell ref="I124:I125"/>
    <mergeCell ref="R76:R79"/>
    <mergeCell ref="K76:K79"/>
    <mergeCell ref="I120:I123"/>
    <mergeCell ref="Q80:Q81"/>
    <mergeCell ref="Q120:Q123"/>
    <mergeCell ref="D118:S119"/>
    <mergeCell ref="J120:J123"/>
    <mergeCell ref="P120:P123"/>
    <mergeCell ref="E80:E81"/>
    <mergeCell ref="S76:S79"/>
    <mergeCell ref="F120:F123"/>
    <mergeCell ref="G120:G123"/>
  </mergeCells>
  <phoneticPr fontId="0" type="noConversion"/>
  <pageMargins left="0.35433070866141736" right="0.31496062992125984" top="0.39370078740157483" bottom="0.19685039370078741" header="0.35433070866141736" footer="0.39370078740157483"/>
  <pageSetup paperSize="8" scale="72" fitToHeight="0" orientation="landscape" r:id="rId1"/>
  <rowBreaks count="2" manualBreakCount="2">
    <brk id="57" max="30" man="1"/>
    <brk id="114" max="3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Чернов Макс</cp:lastModifiedBy>
  <cp:lastPrinted>2025-09-16T13:40:44Z</cp:lastPrinted>
  <dcterms:created xsi:type="dcterms:W3CDTF">1996-10-08T23:32:33Z</dcterms:created>
  <dcterms:modified xsi:type="dcterms:W3CDTF">2026-10-15T22:59:00Z</dcterms:modified>
</cp:coreProperties>
</file>